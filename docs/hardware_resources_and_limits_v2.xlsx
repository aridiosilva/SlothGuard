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ardware" sheetId="1" state="visible" r:id="rId3"/>
    <sheet name="Limitations" sheetId="2" state="visible" r:id="rId4"/>
    <sheet name="Measurements" sheetId="3" state="visible" r:id="rId5"/>
    <sheet name="Calculations" sheetId="4" state="visible" r:id="rId6"/>
    <sheet name="Sourc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<sst xmlns="http://schemas.openxmlformats.org/spreadsheetml/2006/main" count="344" uniqueCount="271">
  <si>
    <t xml:space="preserve">Hardware and software resources of the author's machine</t>
  </si>
  <si>
    <t xml:space="preserve">Surveyed on 22 Oct 2026 and updated on 23 Oct 2026 with the Ollama measurements. 'User screenshot' = a screenshot taken on the author's machine; the other items cite their source in column D.</t>
  </si>
  <si>
    <t xml:space="preserve">Category</t>
  </si>
  <si>
    <t xml:space="preserve">Item</t>
  </si>
  <si>
    <t xml:space="preserve">Specification</t>
  </si>
  <si>
    <t xml:space="preserve">Source / note</t>
  </si>
  <si>
    <t xml:space="preserve">Machine</t>
  </si>
  <si>
    <t xml:space="preserve">Equipment</t>
  </si>
  <si>
    <t xml:space="preserve">Dell 24 All-in-One EC24250, Windows 11 Home Single Language, 64-bit, version 26H2 (build 26300.9711)</t>
  </si>
  <si>
    <t xml:space="preserve">User screenshot (System &gt; About)</t>
  </si>
  <si>
    <t xml:space="preserve">CPU</t>
  </si>
  <si>
    <t xml:space="preserve">Model</t>
  </si>
  <si>
    <t xml:space="preserve">13th Gen Intel Core i5-1334U</t>
  </si>
  <si>
    <t xml:space="preserve">User screenshot</t>
  </si>
  <si>
    <t xml:space="preserve">Cores / threads</t>
  </si>
  <si>
    <t xml:space="preserve">10 cores (2 performance + 8 efficiency), 12 logical processors</t>
  </si>
  <si>
    <t xml:space="preserve">Total 10/12: user screenshot. 2P+8E split: eatyourbytes.com and pchardware.org</t>
  </si>
  <si>
    <t xml:space="preserve">Frequency</t>
  </si>
  <si>
    <t xml:space="preserve">Base 1.30 GHz; turbo up to 4.60 GHz; 3.52 GHz at the time of the 22 Oct screenshot</t>
  </si>
  <si>
    <t xml:space="preserve">Base and 3.52 GHz: user screenshot. Turbo: eatyourbytes.com (Intel specification)</t>
  </si>
  <si>
    <t xml:space="preserve">Base power</t>
  </si>
  <si>
    <t xml:space="preserve">15 W</t>
  </si>
  <si>
    <t xml:space="preserve">eatyourbytes.com (Intel specification)</t>
  </si>
  <si>
    <t xml:space="preserve">Cache</t>
  </si>
  <si>
    <t xml:space="preserve">L1 928 KB; L2 6.5 MB; L3 12.0 MB</t>
  </si>
  <si>
    <t xml:space="preserve">User screenshot (Task Manager &gt; CPU)</t>
  </si>
  <si>
    <t xml:space="preserve">Virtualization</t>
  </si>
  <si>
    <t xml:space="preserve">Enabled</t>
  </si>
  <si>
    <t xml:space="preserve">RAM</t>
  </si>
  <si>
    <t xml:space="preserve">Capacity</t>
  </si>
  <si>
    <t xml:space="preserve">16.0 GB installed (15.7 GB usable)</t>
  </si>
  <si>
    <t xml:space="preserve">Type and speed</t>
  </si>
  <si>
    <t xml:space="preserve">SODIMM, 5200 MT/s</t>
  </si>
  <si>
    <t xml:space="preserve">User screenshot (Task Manager &gt; Memory)</t>
  </si>
  <si>
    <t xml:space="preserve">Channels</t>
  </si>
  <si>
    <t xml:space="preserve">1 of 2 slots used: single channel</t>
  </si>
  <si>
    <t xml:space="preserve">User screenshot. Single-channel conclusion: inferred from 1 module in use (the CPU supports 2 channels)</t>
  </si>
  <si>
    <t xml:space="preserve">GPU</t>
  </si>
  <si>
    <t xml:space="preserve">Intel UHD Graphics, 128 MB dedicated</t>
  </si>
  <si>
    <t xml:space="preserve">User screenshot. Intel lists the i5-1334U with Iris Xe only as 'eligible' (pchardware.org); Windows showing UHD is consistent with single channel (inference)</t>
  </si>
  <si>
    <t xml:space="preserve">Shared memory</t>
  </si>
  <si>
    <t xml:space="preserve">1.2 GB in use out of 7.8 GB possible (borrowed from RAM)</t>
  </si>
  <si>
    <t xml:space="preserve">User screenshot (Task Manager &gt; GPU)</t>
  </si>
  <si>
    <t xml:space="preserve">Driver</t>
  </si>
  <si>
    <t xml:space="preserve">32.0.101.7088, dated 17 Jun 2026; DirectX 12 (feature level 12.1)</t>
  </si>
  <si>
    <t xml:space="preserve">Disk</t>
  </si>
  <si>
    <t xml:space="preserve">Storage</t>
  </si>
  <si>
    <t xml:space="preserve">477 GB total, 274 GB used (see free space in the Calculations tab)</t>
  </si>
  <si>
    <t xml:space="preserve">Software</t>
  </si>
  <si>
    <t xml:space="preserve">Ollama</t>
  </si>
  <si>
    <t xml:space="preserve">Version 0.40.8</t>
  </si>
  <si>
    <t xml:space="preserve">User screenshot (terminal, 23 Oct 2026)</t>
  </si>
  <si>
    <t xml:space="preserve">Local model</t>
  </si>
  <si>
    <t xml:space="preserve">gemma4:e2b, 4.6 GB on disk. The download showed layers of 3.5 GB, 986 MB, 97 MB and 241 B</t>
  </si>
  <si>
    <t xml:space="preserve">User screenshot (ollama list and ollama pull)</t>
  </si>
  <si>
    <t xml:space="preserve">Project Python (.venv)</t>
  </si>
  <si>
    <t xml:space="preserve">Python 3.14.7, pytest 9.1.1, pip 26.2.2</t>
  </si>
  <si>
    <t xml:space="preserve">Provided by the author</t>
  </si>
  <si>
    <t xml:space="preserve">State on 22 Oct</t>
  </si>
  <si>
    <t xml:space="preserve">14.2 GB in use; 1.5 GB available; committed 24.9 of 30.2 GB</t>
  </si>
  <si>
    <t xml:space="preserve">37% usage; 414 processes; 7028 threads; uptime 1:07:02:05 (days:hours:min:s, that is, about 1 day and 7 h)</t>
  </si>
  <si>
    <t xml:space="preserve">State on 23 Oct</t>
  </si>
  <si>
    <t xml:space="preserve">Free RAM before the measurement</t>
  </si>
  <si>
    <t xml:space="preserve">4.2 GB (measured twice before run 1, with Win32_OperatingSystem.FreePhysicalMemory)</t>
  </si>
  <si>
    <t xml:space="preserve">User screenshot (terminal). Not measured before the other runs or during any run</t>
  </si>
  <si>
    <t xml:space="preserve">What the hardware limits in the SlothGuard project (updated on 23 Oct 2026)</t>
  </si>
  <si>
    <t xml:space="preserve">Column F separates what was measured from what is an estimate. The mitigations are suggestions; the 'think=false' one was measured (Measurements tab), the others were not tested.</t>
  </si>
  <si>
    <t xml:space="preserve">#</t>
  </si>
  <si>
    <t xml:space="preserve">Limitation</t>
  </si>
  <si>
    <t xml:space="preserve">Cause</t>
  </si>
  <si>
    <t xml:space="preserve">Practical consequence</t>
  </si>
  <si>
    <t xml:space="preserve">Mitigation</t>
  </si>
  <si>
    <t xml:space="preserve">Nature of the information</t>
  </si>
  <si>
    <t xml:space="preserve">Source</t>
  </si>
  <si>
    <t xml:space="preserve">Generation speed</t>
  </si>
  <si>
    <t xml:space="preserve">Single-channel memory: about 41.6 GB/s (calculation in the Calculations tab) versus 83.2 GB/s in dual channel; 15 W CPU.</t>
  </si>
  <si>
    <t xml:space="preserve">Measured: 13.00 to 21.56 tokens/s with gemma4:e2b in 6 runs. The earlier theoretical estimate (about 14 tokens/s) was exceeded, that is, the hypothesis was wrong.</t>
  </si>
  <si>
    <t xml:space="preserve">Short prompts, batch generation, caching of the explanations, think=false.</t>
  </si>
  <si>
    <t xml:space="preserve">Measured (6 runs, 1 machine); cause of the variation not measured</t>
  </si>
  <si>
    <t xml:space="preserve">Measurements tab; terminal screenshots of 23 Oct 2026</t>
  </si>
  <si>
    <t xml:space="preserve">Model size</t>
  </si>
  <si>
    <t xml:space="preserve">15.7 GB of usable RAM, shared with Windows and other programs.</t>
  </si>
  <si>
    <t xml:space="preserve">E2B (4.6 GB on disk) ran with 4.2 GB of free RAM before the measurement. E4B and 12B were not tested. 26B and 31B are out: the quantized weights of the 31B (17.5 GB, third-party figure) exceed the usable RAM.</t>
  </si>
  <si>
    <t xml:space="preserve">Use gemma4:e2b. Test the E4B only if time allows.</t>
  </si>
  <si>
    <t xml:space="preserve">E2B: measured. E4B and 12B: not tested. 31B: calculation from a third-party source</t>
  </si>
  <si>
    <t xml:space="preserve">Terminal screenshot; jacar.es; ai.google.dev/gemma/docs/core</t>
  </si>
  <si>
    <t xml:space="preserve">No dedicated GPU</t>
  </si>
  <si>
    <t xml:space="preserve">Intel UHD with 128 MB dedicated; no CUDA. Ollama's support for Intel GPUs via Vulkan is experimental.</t>
  </si>
  <si>
    <t xml:space="preserve">The measurements were made with the default Ollama configuration; we did not verify whether the integrated GPU was used. Local fine-tuning is not feasible.</t>
  </si>
  <si>
    <t xml:space="preserve">Vulkan only as an optional test; fine-tuning out of scope.</t>
  </si>
  <si>
    <t xml:space="preserve">Sources checked; iGPU use not tested</t>
  </si>
  <si>
    <t xml:space="preserve">dasroot.net; ggml-org/llama.cpp issue 19327; ai.google.dev/gemma/docs/core</t>
  </si>
  <si>
    <t xml:space="preserve">Low-power CPU</t>
  </si>
  <si>
    <t xml:space="preserve">15 W chip (base).</t>
  </si>
  <si>
    <t xml:space="preserve">Speed varied from 13.00 to 21.56 tokens/s between runs. Power and temperature are hypotheses for the variation, not measured.</t>
  </si>
  <si>
    <t xml:space="preserve">Measure sustained speed in a complete report; 'Best performance' power mode.</t>
  </si>
  <si>
    <t xml:space="preserve">Variation measured; cause not measured</t>
  </si>
  <si>
    <t xml:space="preserve">Measurements tab</t>
  </si>
  <si>
    <t xml:space="preserve">Simultaneous use and occupied RAM</t>
  </si>
  <si>
    <t xml:space="preserve">On 22 Oct: 14.2 GB in use and 1.5 GB free. On 23 Oct: 4.2 GB free before the measurement.</t>
  </si>
  <si>
    <t xml:space="preserve">The model ran in all 6 runs with 4.2 GB free, below the 6 GB margin that had been suggested; RAM was not measured during the runs. Running Ollama, the app and a browser together remains risky.</t>
  </si>
  <si>
    <t xml:space="preserve">Close heavy programs and restart Windows before tests and before recording the video.</t>
  </si>
  <si>
    <t xml:space="preserve">RAM before: measured. During: not measured. 6 GB target: working hypothesis</t>
  </si>
  <si>
    <t xml:space="preserve">Memory screenshots (22 Oct) and terminal (23 Oct)</t>
  </si>
  <si>
    <t xml:space="preserve">Thinking on by default</t>
  </si>
  <si>
    <t xml:space="preserve">gemma4 generates a reasoning draft before the answer, and Ollama's documentation says this comes enabled by default.</t>
  </si>
  <si>
    <t xml:space="preserve">Measured: with thinking on, ~506 tokens per answer and ~27.1 s (warm runs); off, ~94 tokens and ~6.2 s. Gain of ~4.3x, at the same speed per token.</t>
  </si>
  <si>
    <t xml:space="preserve">think=false in the CLI (--think=false) and in the API's think field; the final text is kept separate from the reasoning, according to the documentation.</t>
  </si>
  <si>
    <t xml:space="preserve">Measured (3 runs per mode)</t>
  </si>
  <si>
    <t xml:space="preserve">Measurements tab; docs.ollama.com/capabilities/thinking</t>
  </si>
  <si>
    <t xml:space="preserve">Quality of the model's text</t>
  </si>
  <si>
    <t xml:space="preserve">Small model (E2B) with a one-instruction prompt.</t>
  </si>
  <si>
    <t xml:space="preserve">The word 'critical' appeared in 4 of 6 answers, although the severity was 'high'. One answer had 5 sentences despite the limit of 4.</t>
  </si>
  <si>
    <t xml:space="preserve">Severity always comes from the rules, never from the model. Validate the number of sentences and use the fallback text (to be implemented, tests first).</t>
  </si>
  <si>
    <t xml:space="preserve">Observed in 6 answers (small sample)</t>
  </si>
  <si>
    <t xml:space="preserve">Terminal screenshots of 23 Oct 2026</t>
  </si>
  <si>
    <t xml:space="preserve">What remains feasible</t>
  </si>
  <si>
    <t xml:space="preserve">SlothGuard as designed, with think=false: SoD rules in code, local E2B model explaining one finding at a time, batch generation, report assembled by code. For 8 findings the estimate is about 54 to 73 s (Calculations tab; an estimate made from 3 runs, not a measurement of the whole report). Running on ordinary equipment, without a dedicated GPU, strengthens the challenge's argument about accessible open AI.</t>
  </si>
  <si>
    <t xml:space="preserve">Ollama measurements (gemma4:e2b), 23 Oct 2026</t>
  </si>
  <si>
    <t xml:space="preserve">Source: terminal screenshots provided by the author (ollama 0.40.8, --verbose output). Blue = value copied from the screenshot; black = formula. Missing 'cache' in the cold run was treated as 0.</t>
  </si>
  <si>
    <t xml:space="preserve">Mode</t>
  </si>
  <si>
    <t xml:space="preserve">Run</t>
  </si>
  <si>
    <t xml:space="preserve">Load (s)</t>
  </si>
  <si>
    <t xml:space="preserve">Prompt tokens</t>
  </si>
  <si>
    <t xml:space="preserve">Cached tokens</t>
  </si>
  <si>
    <t xml:space="preserve">Generated tokens</t>
  </si>
  <si>
    <t xml:space="preserve">Generation duration (s)</t>
  </si>
  <si>
    <t xml:space="preserve">Reported rate (tok/s)</t>
  </si>
  <si>
    <t xml:space="preserve">Recalculated rate (tok/s)</t>
  </si>
  <si>
    <t xml:space="preserve">Total (s)</t>
  </si>
  <si>
    <t xml:space="preserve">Thinking on</t>
  </si>
  <si>
    <t xml:space="preserve">1 (cold)</t>
  </si>
  <si>
    <t xml:space="preserve">2</t>
  </si>
  <si>
    <t xml:space="preserve">3</t>
  </si>
  <si>
    <t xml:space="preserve">Thinking off (--think=false)</t>
  </si>
  <si>
    <t xml:space="preserve">Recalculated rate = generated tokens / generation duration; it matches the rate reported by Ollama.</t>
  </si>
  <si>
    <t xml:space="preserve">In runs 2 and 3 of each mode, almost the whole prompt came from the cache (104 of 109 and 97 of 102 tokens), so the prompt-reading rate of those runs is not comparable to that of run 1 and is not in this table.</t>
  </si>
  <si>
    <t xml:space="preserve">Conditions: free RAM before run 1 of 23 Oct = 4.2 GB; power mode and open programs were not recorded; RAM during the runs was not measured.</t>
  </si>
  <si>
    <t xml:space="preserve">Supporting calculations</t>
  </si>
  <si>
    <t xml:space="preserve">Legend: blue = input (screenshot, cited source or hypothesis); black = formula; green = formula that reads the Measurements tab; yellow fill = working hypothesis, editable.</t>
  </si>
  <si>
    <t xml:space="preserve">Parameter</t>
  </si>
  <si>
    <t xml:space="preserve">Value</t>
  </si>
  <si>
    <t xml:space="preserve">Unit</t>
  </si>
  <si>
    <t xml:space="preserve">1. Memory bandwidth (single vs dual channel)</t>
  </si>
  <si>
    <t xml:space="preserve">RAM transfer rate</t>
  </si>
  <si>
    <t xml:space="preserve">MT/s</t>
  </si>
  <si>
    <t xml:space="preserve">Bus width per channel</t>
  </si>
  <si>
    <t xml:space="preserve">bytes</t>
  </si>
  <si>
    <t xml:space="preserve">64 bits per channel (eatyourbytes.com cites 2 x 64 bits for the CPU)</t>
  </si>
  <si>
    <t xml:space="preserve">Channels in use</t>
  </si>
  <si>
    <t xml:space="preserve">channels</t>
  </si>
  <si>
    <t xml:space="preserve">User screenshot: 1 of 2 slots used</t>
  </si>
  <si>
    <t xml:space="preserve">Channels supported by the CPU</t>
  </si>
  <si>
    <t xml:space="preserve">Current bandwidth (channels in use)</t>
  </si>
  <si>
    <t xml:space="preserve">GB/s</t>
  </si>
  <si>
    <t xml:space="preserve">MT/s x bytes x channels / 1000. Theoretical peak value</t>
  </si>
  <si>
    <t xml:space="preserve">Maximum CPU bandwidth (two channels)</t>
  </si>
  <si>
    <t xml:space="preserve">Matches the 83.2 GB/s from eatyourbytes.com</t>
  </si>
  <si>
    <t xml:space="preserve">Bandwidth loss versus the maximum</t>
  </si>
  <si>
    <t xml:space="preserve">%</t>
  </si>
  <si>
    <t xml:space="preserve">Effect of using a single memory module</t>
  </si>
  <si>
    <t xml:space="preserve">2. Summary of the Ollama measurements (gemma4:e2b; data in the Measurements tab)</t>
  </si>
  <si>
    <t xml:space="preserve">Tokens generated per answer, thinking on (average)</t>
  </si>
  <si>
    <t xml:space="preserve">tokens</t>
  </si>
  <si>
    <t xml:space="preserve">Average of the 3 runs</t>
  </si>
  <si>
    <t xml:space="preserve">Tokens generated per answer, thinking off (average)</t>
  </si>
  <si>
    <t xml:space="preserve">Average of the 3 runs with --think=false</t>
  </si>
  <si>
    <t xml:space="preserve">Reduction in generated tokens</t>
  </si>
  <si>
    <t xml:space="preserve">How much of what the model generated was reasoning draft, on average</t>
  </si>
  <si>
    <t xml:space="preserve">Generation speed, thinking on (average)</t>
  </si>
  <si>
    <t xml:space="preserve">tokens/s</t>
  </si>
  <si>
    <t xml:space="preserve">Rate reported by Ollama</t>
  </si>
  <si>
    <t xml:space="preserve">Generation speed, thinking off (average)</t>
  </si>
  <si>
    <t xml:space="preserve">Speed per token is practically the same in both modes</t>
  </si>
  <si>
    <t xml:space="preserve">Minimum speed across the 6 runs</t>
  </si>
  <si>
    <t xml:space="preserve">Cause of the variation not measured</t>
  </si>
  <si>
    <t xml:space="preserve">Maximum speed across the 6 runs</t>
  </si>
  <si>
    <t xml:space="preserve">Use the minimum-to-maximum range in the post, not just the best number</t>
  </si>
  <si>
    <t xml:space="preserve">Total time, runs 2 and 3, thinking on (average)</t>
  </si>
  <si>
    <t xml:space="preserve">s</t>
  </si>
  <si>
    <t xml:space="preserve">'Warm' runs (model already loaded)</t>
  </si>
  <si>
    <t xml:space="preserve">Total time, runs 2 and 3, thinking off (average)</t>
  </si>
  <si>
    <t xml:space="preserve">'Warm' runs</t>
  </si>
  <si>
    <t xml:space="preserve">Speed gain (total time) from turning thinking off</t>
  </si>
  <si>
    <t xml:space="preserve">x</t>
  </si>
  <si>
    <t xml:space="preserve">Time on / time off</t>
  </si>
  <si>
    <t xml:space="preserve">Total time of the cold run, thinking on</t>
  </si>
  <si>
    <t xml:space="preserve">Includes loading the model</t>
  </si>
  <si>
    <t xml:space="preserve">Total time of the cold run, thinking off</t>
  </si>
  <si>
    <t xml:space="preserve">Number of findings in the report</t>
  </si>
  <si>
    <t xml:space="preserve">findings</t>
  </si>
  <si>
    <t xml:space="preserve">Same number of findings that the synthetic set produced in a verification run (5 high, 2 medium and 1 low)</t>
  </si>
  <si>
    <t xml:space="preserve">Report estimate, thinking on</t>
  </si>
  <si>
    <t xml:space="preserve">ESTIMATE, not an end-to-end measurement: cold run + (N-1) warm runs, assuming prompts of the same size</t>
  </si>
  <si>
    <t xml:space="preserve">   in minutes</t>
  </si>
  <si>
    <t xml:space="preserve">min</t>
  </si>
  <si>
    <t xml:space="preserve">Report estimate, thinking off</t>
  </si>
  <si>
    <t xml:space="preserve">ESTIMATE, same calculation</t>
  </si>
  <si>
    <t xml:space="preserve">   optimistic scenario (fastest warm run)</t>
  </si>
  <si>
    <t xml:space="preserve">ESTIMATE</t>
  </si>
  <si>
    <t xml:space="preserve">   pessimistic scenario (slowest warm run)</t>
  </si>
  <si>
    <t xml:space="preserve">3. Earlier speed-ceiling hypothesis (REFUTED by the measurement)</t>
  </si>
  <si>
    <t xml:space="preserve">Quantized weights of Gemma 4 E2B (4-bit), according to a third-party source</t>
  </si>
  <si>
    <t xml:space="preserve">GB</t>
  </si>
  <si>
    <t xml:space="preserve">jacar.es, which cites Google's table (not checked directly). The file in Ollama is 4.6 GB (ollama list)</t>
  </si>
  <si>
    <t xml:space="preserve">Quantized weights of Gemma 4 31B (4-bit)</t>
  </si>
  <si>
    <t xml:space="preserve">jacar.es, which cites Google's table (not checked directly)</t>
  </si>
  <si>
    <t xml:space="preserve">Old ceiling (current bandwidth / E2B weights)</t>
  </si>
  <si>
    <t xml:space="preserve">Working hypothesis that the model reads all the weights for each token</t>
  </si>
  <si>
    <t xml:space="preserve">Measured (thinking off) / old ceiling</t>
  </si>
  <si>
    <t xml:space="preserve">Above 1 = the measured speed exceeded the ceiling</t>
  </si>
  <si>
    <t xml:space="preserve">Hypothesis refuted (measured above the ceiling)?</t>
  </si>
  <si>
    <t xml:space="preserve">—</t>
  </si>
  <si>
    <t xml:space="preserve">The model does not read all the weights for each token; the exact reason is unknown (hypothesis: the E2B's 'effective' parameters)</t>
  </si>
  <si>
    <t xml:space="preserve">4. RAM budget</t>
  </si>
  <si>
    <t xml:space="preserve">Installed physical RAM</t>
  </si>
  <si>
    <t xml:space="preserve">Usable RAM</t>
  </si>
  <si>
    <t xml:space="preserve">RAM in use in the 22 Oct screenshot</t>
  </si>
  <si>
    <t xml:space="preserve">Free RAM on 22 Oct (calculated)</t>
  </si>
  <si>
    <t xml:space="preserve">The screenshot showed 1.5 GB available, which matches</t>
  </si>
  <si>
    <t xml:space="preserve">Desired free margin before loading the model</t>
  </si>
  <si>
    <t xml:space="preserve">WORKING HYPOTHESIS (lower bound of 6 to 8 GB). Not an official number. The model ran with less (see below)</t>
  </si>
  <si>
    <t xml:space="preserve">Free RAM before the 23 Oct measurement</t>
  </si>
  <si>
    <t xml:space="preserve">User screenshot (terminal, measured twice). Not measured during the runs</t>
  </si>
  <si>
    <t xml:space="preserve">Ran with less free RAM than the desired margin?</t>
  </si>
  <si>
    <t xml:space="preserve">If 'Yes', the 6 GB margin was conservative for the E2B</t>
  </si>
  <si>
    <t xml:space="preserve">Committed memory in the 22 Oct screenshot</t>
  </si>
  <si>
    <t xml:space="preserve">User screenshot (24.9 of 30.2 GB)</t>
  </si>
  <si>
    <t xml:space="preserve">Committed above physical RAM?</t>
  </si>
  <si>
    <t xml:space="preserve">Indicates memory pressure; by itself, it does not prove active use of the paging file</t>
  </si>
  <si>
    <t xml:space="preserve">Do the 31B weights fit in usable RAM?</t>
  </si>
  <si>
    <t xml:space="preserve">Compares only the weights, without context or operating system</t>
  </si>
  <si>
    <t xml:space="preserve">5. Shared GPU memory and disk</t>
  </si>
  <si>
    <t xml:space="preserve">Possible shared GPU memory</t>
  </si>
  <si>
    <t xml:space="preserve">Fraction of usable RAM</t>
  </si>
  <si>
    <t xml:space="preserve">It is memory borrowed from the same RAM, not additional capacity</t>
  </si>
  <si>
    <t xml:space="preserve">Total disk</t>
  </si>
  <si>
    <t xml:space="preserve">Used disk</t>
  </si>
  <si>
    <t xml:space="preserve">Free disk</t>
  </si>
  <si>
    <t xml:space="preserve">Space for models and project files</t>
  </si>
  <si>
    <t xml:space="preserve">Free disk (%)</t>
  </si>
  <si>
    <t xml:space="preserve">Sources consulted</t>
  </si>
  <si>
    <t xml:space="preserve">Address</t>
  </si>
  <si>
    <t xml:space="preserve">Used for</t>
  </si>
  <si>
    <t xml:space="preserve">Windows and terminal screenshots provided by the author</t>
  </si>
  <si>
    <t xml:space="preserve">System &gt; About; Task Manager (GPU, Memory, CPU), 22 Oct 2026; terminal with ollama, 23 Oct 2026</t>
  </si>
  <si>
    <t xml:space="preserve">All measured data of the machine and of Ollama</t>
  </si>
  <si>
    <t xml:space="preserve">eatyourbytes.com: Intel Core i5-1334U</t>
  </si>
  <si>
    <t xml:space="preserve">https://www.eatyourbytes.com/cpu-detail/intel-i5-1334u/</t>
  </si>
  <si>
    <t xml:space="preserve">10 cores (2P+8E), 12 threads, 15 W, turbo 4.6 GHz, 2 channels, 83.2 GB/s</t>
  </si>
  <si>
    <t xml:space="preserve">pchardware.org: Intel Core i5-1334U</t>
  </si>
  <si>
    <t xml:space="preserve">https://pchardware.org/processors/intel-core-i5-1334u/</t>
  </si>
  <si>
    <t xml:space="preserve">2P+8E split; Iris Xe graphics only as 'eligible'</t>
  </si>
  <si>
    <t xml:space="preserve">jacar.es: Gemma 4 locally with Ollama</t>
  </si>
  <si>
    <t xml:space="preserve">https://jacar.es/en/gemma-4-locally-with-ollama/</t>
  </si>
  <si>
    <t xml:space="preserve">Quantized weights from 2.9 GB (E2B) to 17.5 GB (31B), citing Google's table</t>
  </si>
  <si>
    <t xml:space="preserve">Google AI for Developers: Gemma 4</t>
  </si>
  <si>
    <t xml:space="preserve">https://ai.google.dev/gemma/docs/core</t>
  </si>
  <si>
    <t xml:space="preserve">Gemma 4 sizes and higher memory use in fine-tuning</t>
  </si>
  <si>
    <t xml:space="preserve">Ollama documentation: Thinking</t>
  </si>
  <si>
    <t xml:space="preserve">https://docs.ollama.com/capabilities/thinking</t>
  </si>
  <si>
    <t xml:space="preserve">Thinking enabled by default; --think=false in the CLI and think field in the API</t>
  </si>
  <si>
    <t xml:space="preserve">Ollama documentation: Windows</t>
  </si>
  <si>
    <t xml:space="preserve">https://docs.ollama.com/windows</t>
  </si>
  <si>
    <t xml:space="preserve">Installation on Windows; background execution; API on localhost:11434</t>
  </si>
  <si>
    <t xml:space="preserve">dasroot.net: Ollama performance tuning</t>
  </si>
  <si>
    <t xml:space="preserve">https://dasroot.net/posts/2026/01/ollama-performance-tuning-gpu-acceleration-model-quantization/</t>
  </si>
  <si>
    <t xml:space="preserve">Experimental Vulkan support (OLLAMA_VULKAN=1)</t>
  </si>
  <si>
    <t xml:space="preserve">GitHub ggml-org/llama.cpp, issue 19327</t>
  </si>
  <si>
    <t xml:space="preserve">https://github.com/ggml-org/llama.cpp/issues/19327</t>
  </si>
  <si>
    <t xml:space="preserve">Report of corrupted output on Intel iGPU via Vulkan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</si>
</sst>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0"/>
    <numFmt numFmtId="166" formatCode="0.00"/>
    <numFmt numFmtId="167" formatCode="#,##0"/>
    <numFmt numFmtId="168" formatCode="0"/>
    <numFmt numFmtId="169" formatCode="0.0"/>
    <numFmt numFmtId="170" formatCode="0.0%"/>
    <numFmt numFmtId="171" formatCode="0.0\x"/>
    <numFmt numFmtId="172" formatCode="0.0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10" fillId="4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0"/>
    <col collapsed="false" customWidth="true" hidden="false" outlineLevel="0" max="3" min="3" style="1" width="62"/>
    <col collapsed="false" customWidth="true" hidden="false" outlineLevel="0" max="4" min="4" style="1" width="46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30" hidden="false" customHeight="true" outlineLevel="0" collapsed="false">
      <c r="A5" s="5" t="s">
        <v>6</v>
      </c>
      <c r="B5" s="5" t="s">
        <v>7</v>
      </c>
      <c r="C5" s="5" t="s">
        <v>8</v>
      </c>
      <c r="D5" s="5" t="s">
        <v>9</v>
      </c>
    </row>
    <row r="6" customFormat="false" ht="16.5" hidden="false" customHeight="true" outlineLevel="0" collapsed="false">
      <c r="A6" s="5" t="s">
        <v>10</v>
      </c>
      <c r="B6" s="5" t="s">
        <v>11</v>
      </c>
      <c r="C6" s="5" t="s">
        <v>12</v>
      </c>
      <c r="D6" s="5" t="s">
        <v>13</v>
      </c>
    </row>
    <row r="7" customFormat="false" ht="30" hidden="false" customHeight="true" outlineLevel="0" collapsed="false">
      <c r="A7" s="5" t="s">
        <v>10</v>
      </c>
      <c r="B7" s="5" t="s">
        <v>14</v>
      </c>
      <c r="C7" s="5" t="s">
        <v>15</v>
      </c>
      <c r="D7" s="5" t="s">
        <v>16</v>
      </c>
    </row>
    <row r="8" customFormat="false" ht="30" hidden="false" customHeight="true" outlineLevel="0" collapsed="false">
      <c r="A8" s="5" t="s">
        <v>10</v>
      </c>
      <c r="B8" s="5" t="s">
        <v>17</v>
      </c>
      <c r="C8" s="5" t="s">
        <v>18</v>
      </c>
      <c r="D8" s="5" t="s">
        <v>19</v>
      </c>
    </row>
    <row r="9" customFormat="false" ht="16.5" hidden="false" customHeight="true" outlineLevel="0" collapsed="false">
      <c r="A9" s="5" t="s">
        <v>10</v>
      </c>
      <c r="B9" s="5" t="s">
        <v>20</v>
      </c>
      <c r="C9" s="5" t="s">
        <v>21</v>
      </c>
      <c r="D9" s="5" t="s">
        <v>22</v>
      </c>
    </row>
    <row r="10" customFormat="false" ht="16.5" hidden="false" customHeight="true" outlineLevel="0" collapsed="false">
      <c r="A10" s="5" t="s">
        <v>10</v>
      </c>
      <c r="B10" s="5" t="s">
        <v>23</v>
      </c>
      <c r="C10" s="5" t="s">
        <v>24</v>
      </c>
      <c r="D10" s="5" t="s">
        <v>25</v>
      </c>
    </row>
    <row r="11" customFormat="false" ht="16.5" hidden="false" customHeight="true" outlineLevel="0" collapsed="false">
      <c r="A11" s="5" t="s">
        <v>10</v>
      </c>
      <c r="B11" s="5" t="s">
        <v>26</v>
      </c>
      <c r="C11" s="5" t="s">
        <v>27</v>
      </c>
      <c r="D11" s="5" t="s">
        <v>13</v>
      </c>
    </row>
    <row r="12" customFormat="false" ht="16.5" hidden="false" customHeight="true" outlineLevel="0" collapsed="false">
      <c r="A12" s="5" t="s">
        <v>28</v>
      </c>
      <c r="B12" s="5" t="s">
        <v>29</v>
      </c>
      <c r="C12" s="5" t="s">
        <v>30</v>
      </c>
      <c r="D12" s="5" t="s">
        <v>13</v>
      </c>
    </row>
    <row r="13" customFormat="false" ht="30" hidden="false" customHeight="true" outlineLevel="0" collapsed="false">
      <c r="A13" s="5" t="s">
        <v>28</v>
      </c>
      <c r="B13" s="5" t="s">
        <v>31</v>
      </c>
      <c r="C13" s="5" t="s">
        <v>32</v>
      </c>
      <c r="D13" s="5" t="s">
        <v>33</v>
      </c>
    </row>
    <row r="14" customFormat="false" ht="30" hidden="false" customHeight="true" outlineLevel="0" collapsed="false">
      <c r="A14" s="5" t="s">
        <v>28</v>
      </c>
      <c r="B14" s="5" t="s">
        <v>34</v>
      </c>
      <c r="C14" s="5" t="s">
        <v>35</v>
      </c>
      <c r="D14" s="5" t="s">
        <v>36</v>
      </c>
    </row>
    <row r="15" customFormat="false" ht="57" hidden="false" customHeight="true" outlineLevel="0" collapsed="false">
      <c r="A15" s="5" t="s">
        <v>37</v>
      </c>
      <c r="B15" s="5" t="s">
        <v>11</v>
      </c>
      <c r="C15" s="5" t="s">
        <v>38</v>
      </c>
      <c r="D15" s="5" t="s">
        <v>39</v>
      </c>
    </row>
    <row r="16" customFormat="false" ht="16.5" hidden="false" customHeight="true" outlineLevel="0" collapsed="false">
      <c r="A16" s="5" t="s">
        <v>37</v>
      </c>
      <c r="B16" s="5" t="s">
        <v>40</v>
      </c>
      <c r="C16" s="5" t="s">
        <v>41</v>
      </c>
      <c r="D16" s="5" t="s">
        <v>42</v>
      </c>
    </row>
    <row r="17" customFormat="false" ht="16.5" hidden="false" customHeight="true" outlineLevel="0" collapsed="false">
      <c r="A17" s="5" t="s">
        <v>37</v>
      </c>
      <c r="B17" s="5" t="s">
        <v>43</v>
      </c>
      <c r="C17" s="5" t="s">
        <v>44</v>
      </c>
      <c r="D17" s="5" t="s">
        <v>13</v>
      </c>
    </row>
    <row r="18" customFormat="false" ht="16.5" hidden="false" customHeight="true" outlineLevel="0" collapsed="false">
      <c r="A18" s="5" t="s">
        <v>45</v>
      </c>
      <c r="B18" s="5" t="s">
        <v>46</v>
      </c>
      <c r="C18" s="5" t="s">
        <v>47</v>
      </c>
      <c r="D18" s="5" t="s">
        <v>9</v>
      </c>
    </row>
    <row r="19" customFormat="false" ht="16.5" hidden="false" customHeight="true" outlineLevel="0" collapsed="false">
      <c r="A19" s="5" t="s">
        <v>48</v>
      </c>
      <c r="B19" s="5" t="s">
        <v>49</v>
      </c>
      <c r="C19" s="5" t="s">
        <v>50</v>
      </c>
      <c r="D19" s="5" t="s">
        <v>51</v>
      </c>
    </row>
    <row r="20" customFormat="false" ht="30" hidden="false" customHeight="true" outlineLevel="0" collapsed="false">
      <c r="A20" s="5" t="s">
        <v>48</v>
      </c>
      <c r="B20" s="5" t="s">
        <v>52</v>
      </c>
      <c r="C20" s="5" t="s">
        <v>53</v>
      </c>
      <c r="D20" s="5" t="s">
        <v>54</v>
      </c>
    </row>
    <row r="21" customFormat="false" ht="16.5" hidden="false" customHeight="true" outlineLevel="0" collapsed="false">
      <c r="A21" s="5" t="s">
        <v>48</v>
      </c>
      <c r="B21" s="5" t="s">
        <v>55</v>
      </c>
      <c r="C21" s="5" t="s">
        <v>56</v>
      </c>
      <c r="D21" s="5" t="s">
        <v>57</v>
      </c>
    </row>
    <row r="22" customFormat="false" ht="30" hidden="false" customHeight="true" outlineLevel="0" collapsed="false">
      <c r="A22" s="5" t="s">
        <v>58</v>
      </c>
      <c r="B22" s="5" t="s">
        <v>28</v>
      </c>
      <c r="C22" s="5" t="s">
        <v>59</v>
      </c>
      <c r="D22" s="5" t="s">
        <v>33</v>
      </c>
    </row>
    <row r="23" customFormat="false" ht="30" hidden="false" customHeight="true" outlineLevel="0" collapsed="false">
      <c r="A23" s="5" t="s">
        <v>58</v>
      </c>
      <c r="B23" s="5" t="s">
        <v>10</v>
      </c>
      <c r="C23" s="5" t="s">
        <v>60</v>
      </c>
      <c r="D23" s="5" t="s">
        <v>25</v>
      </c>
    </row>
    <row r="24" customFormat="false" ht="30" hidden="false" customHeight="true" outlineLevel="0" collapsed="false">
      <c r="A24" s="5" t="s">
        <v>61</v>
      </c>
      <c r="B24" s="5" t="s">
        <v>62</v>
      </c>
      <c r="C24" s="5" t="s">
        <v>63</v>
      </c>
      <c r="D24" s="5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4"/>
    <col collapsed="false" customWidth="true" hidden="false" outlineLevel="0" max="3" min="3" style="1" width="40"/>
    <col collapsed="false" customWidth="true" hidden="false" outlineLevel="0" max="4" min="4" style="1" width="48"/>
    <col collapsed="false" customWidth="true" hidden="false" outlineLevel="0" max="5" min="5" style="1" width="44"/>
    <col collapsed="false" customWidth="true" hidden="false" outlineLevel="0" max="6" min="6" style="1" width="26"/>
    <col collapsed="false" customWidth="true" hidden="false" outlineLevel="0" max="7" min="7" style="1" width="40"/>
  </cols>
  <sheetData>
    <row r="1" customFormat="false" ht="17.25" hidden="false" customHeight="true" outlineLevel="0" collapsed="false">
      <c r="A1" s="2" t="s">
        <v>65</v>
      </c>
    </row>
    <row r="2" customFormat="false" ht="15" hidden="false" customHeight="true" outlineLevel="0" collapsed="false">
      <c r="A2" s="3" t="s">
        <v>66</v>
      </c>
    </row>
    <row r="4" customFormat="false" ht="15" hidden="false" customHeight="true" outlineLevel="0" collapsed="false">
      <c r="A4" s="4" t="s">
        <v>67</v>
      </c>
      <c r="B4" s="4" t="s">
        <v>68</v>
      </c>
      <c r="C4" s="4" t="s">
        <v>69</v>
      </c>
      <c r="D4" s="4" t="s">
        <v>70</v>
      </c>
      <c r="E4" s="4" t="s">
        <v>71</v>
      </c>
      <c r="F4" s="4" t="s">
        <v>72</v>
      </c>
      <c r="G4" s="4" t="s">
        <v>73</v>
      </c>
    </row>
    <row r="5" customFormat="false" ht="57" hidden="false" customHeight="true" outlineLevel="0" collapsed="false">
      <c r="A5" s="6" t="n">
        <v>1</v>
      </c>
      <c r="B5" s="5" t="s">
        <v>74</v>
      </c>
      <c r="C5" s="5" t="s">
        <v>75</v>
      </c>
      <c r="D5" s="5" t="s">
        <v>76</v>
      </c>
      <c r="E5" s="5" t="s">
        <v>77</v>
      </c>
      <c r="F5" s="5" t="s">
        <v>78</v>
      </c>
      <c r="G5" s="5" t="s">
        <v>79</v>
      </c>
    </row>
    <row r="6" customFormat="false" ht="70.5" hidden="false" customHeight="true" outlineLevel="0" collapsed="false">
      <c r="A6" s="6" t="n">
        <v>2</v>
      </c>
      <c r="B6" s="5" t="s">
        <v>80</v>
      </c>
      <c r="C6" s="5" t="s">
        <v>81</v>
      </c>
      <c r="D6" s="5" t="s">
        <v>82</v>
      </c>
      <c r="E6" s="5" t="s">
        <v>83</v>
      </c>
      <c r="F6" s="5" t="s">
        <v>84</v>
      </c>
      <c r="G6" s="5" t="s">
        <v>85</v>
      </c>
    </row>
    <row r="7" customFormat="false" ht="43.5" hidden="false" customHeight="true" outlineLevel="0" collapsed="false">
      <c r="A7" s="6" t="n">
        <v>3</v>
      </c>
      <c r="B7" s="5" t="s">
        <v>86</v>
      </c>
      <c r="C7" s="5" t="s">
        <v>87</v>
      </c>
      <c r="D7" s="5" t="s">
        <v>88</v>
      </c>
      <c r="E7" s="5" t="s">
        <v>89</v>
      </c>
      <c r="F7" s="5" t="s">
        <v>90</v>
      </c>
      <c r="G7" s="5" t="s">
        <v>91</v>
      </c>
    </row>
    <row r="8" customFormat="false" ht="43.5" hidden="false" customHeight="true" outlineLevel="0" collapsed="false">
      <c r="A8" s="6" t="n">
        <v>4</v>
      </c>
      <c r="B8" s="5" t="s">
        <v>92</v>
      </c>
      <c r="C8" s="5" t="s">
        <v>93</v>
      </c>
      <c r="D8" s="5" t="s">
        <v>94</v>
      </c>
      <c r="E8" s="5" t="s">
        <v>95</v>
      </c>
      <c r="F8" s="5" t="s">
        <v>96</v>
      </c>
      <c r="G8" s="5" t="s">
        <v>97</v>
      </c>
    </row>
    <row r="9" customFormat="false" ht="57" hidden="false" customHeight="true" outlineLevel="0" collapsed="false">
      <c r="A9" s="6" t="n">
        <v>5</v>
      </c>
      <c r="B9" s="5" t="s">
        <v>98</v>
      </c>
      <c r="C9" s="5" t="s">
        <v>99</v>
      </c>
      <c r="D9" s="5" t="s">
        <v>100</v>
      </c>
      <c r="E9" s="5" t="s">
        <v>101</v>
      </c>
      <c r="F9" s="5" t="s">
        <v>102</v>
      </c>
      <c r="G9" s="5" t="s">
        <v>103</v>
      </c>
    </row>
    <row r="10" customFormat="false" ht="57" hidden="false" customHeight="true" outlineLevel="0" collapsed="false">
      <c r="A10" s="6" t="n">
        <v>6</v>
      </c>
      <c r="B10" s="5" t="s">
        <v>104</v>
      </c>
      <c r="C10" s="5" t="s">
        <v>105</v>
      </c>
      <c r="D10" s="5" t="s">
        <v>106</v>
      </c>
      <c r="E10" s="5" t="s">
        <v>107</v>
      </c>
      <c r="F10" s="5" t="s">
        <v>108</v>
      </c>
      <c r="G10" s="5" t="s">
        <v>109</v>
      </c>
    </row>
    <row r="11" customFormat="false" ht="57" hidden="false" customHeight="true" outlineLevel="0" collapsed="false">
      <c r="A11" s="6" t="n">
        <v>7</v>
      </c>
      <c r="B11" s="5" t="s">
        <v>110</v>
      </c>
      <c r="C11" s="5" t="s">
        <v>111</v>
      </c>
      <c r="D11" s="5" t="s">
        <v>112</v>
      </c>
      <c r="E11" s="5" t="s">
        <v>113</v>
      </c>
      <c r="F11" s="5" t="s">
        <v>114</v>
      </c>
      <c r="G11" s="5" t="s">
        <v>115</v>
      </c>
    </row>
    <row r="13" customFormat="false" ht="15" hidden="false" customHeight="true" outlineLevel="0" collapsed="false">
      <c r="A13" s="7" t="s">
        <v>116</v>
      </c>
      <c r="B13" s="7"/>
      <c r="C13" s="7"/>
      <c r="D13" s="7"/>
      <c r="E13" s="7"/>
      <c r="F13" s="7"/>
      <c r="G13" s="7"/>
    </row>
    <row r="14" customFormat="false" ht="54.75" hidden="false" customHeight="true" outlineLevel="0" collapsed="false">
      <c r="B14" s="8" t="s">
        <v>117</v>
      </c>
      <c r="C14" s="8"/>
      <c r="D14" s="8"/>
      <c r="E14" s="8"/>
      <c r="F14" s="8"/>
      <c r="G14" s="8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9"/>
    </row>
  </sheetData>
  <mergeCells count="1">
    <mergeCell ref="B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2"/>
    <col collapsed="false" customWidth="true" hidden="false" outlineLevel="0" max="3" min="3" style="1" width="11"/>
    <col collapsed="false" customWidth="true" hidden="false" outlineLevel="0" max="6" min="4" style="1" width="12"/>
    <col collapsed="false" customWidth="true" hidden="false" outlineLevel="0" max="9" min="7" style="1" width="14"/>
    <col collapsed="false" customWidth="true" hidden="false" outlineLevel="0" max="10" min="10" style="1" width="11"/>
  </cols>
  <sheetData>
    <row r="1" customFormat="false" ht="17.25" hidden="false" customHeight="true" outlineLevel="0" collapsed="false">
      <c r="A1" s="2" t="s">
        <v>118</v>
      </c>
    </row>
    <row r="2" customFormat="false" ht="15" hidden="false" customHeight="true" outlineLevel="0" collapsed="false">
      <c r="A2" s="3" t="s">
        <v>119</v>
      </c>
    </row>
    <row r="4" customFormat="false" ht="42" hidden="false" customHeight="true" outlineLevel="0" collapsed="false">
      <c r="A4" s="4" t="s">
        <v>120</v>
      </c>
      <c r="B4" s="4" t="s">
        <v>121</v>
      </c>
      <c r="C4" s="4" t="s">
        <v>122</v>
      </c>
      <c r="D4" s="4" t="s">
        <v>123</v>
      </c>
      <c r="E4" s="4" t="s">
        <v>124</v>
      </c>
      <c r="F4" s="4" t="s">
        <v>125</v>
      </c>
      <c r="G4" s="4" t="s">
        <v>126</v>
      </c>
      <c r="H4" s="4" t="s">
        <v>127</v>
      </c>
      <c r="I4" s="4" t="s">
        <v>128</v>
      </c>
      <c r="J4" s="4" t="s">
        <v>129</v>
      </c>
    </row>
    <row r="5" customFormat="false" ht="27.75" hidden="false" customHeight="true" outlineLevel="0" collapsed="false">
      <c r="A5" s="5" t="s">
        <v>130</v>
      </c>
      <c r="B5" s="6" t="s">
        <v>131</v>
      </c>
      <c r="C5" s="10" t="n">
        <v>15.4634696</v>
      </c>
      <c r="D5" s="11" t="n">
        <v>109</v>
      </c>
      <c r="E5" s="11" t="n">
        <v>0</v>
      </c>
      <c r="F5" s="11" t="n">
        <v>508</v>
      </c>
      <c r="G5" s="10" t="n">
        <v>29.996968</v>
      </c>
      <c r="H5" s="12" t="n">
        <v>16.94</v>
      </c>
      <c r="I5" s="13" t="n">
        <f aca="false">F5/G5</f>
        <v>16.9350449018714</v>
      </c>
      <c r="J5" s="10" t="n">
        <v>46.8935805</v>
      </c>
    </row>
    <row r="6" customFormat="false" ht="27.75" hidden="false" customHeight="true" outlineLevel="0" collapsed="false">
      <c r="A6" s="5" t="s">
        <v>130</v>
      </c>
      <c r="B6" s="6" t="s">
        <v>132</v>
      </c>
      <c r="C6" s="10" t="n">
        <v>0.0187864</v>
      </c>
      <c r="D6" s="11" t="n">
        <v>109</v>
      </c>
      <c r="E6" s="11" t="n">
        <v>104</v>
      </c>
      <c r="F6" s="11" t="n">
        <v>521</v>
      </c>
      <c r="G6" s="10" t="n">
        <v>26.825821</v>
      </c>
      <c r="H6" s="12" t="n">
        <v>19.42</v>
      </c>
      <c r="I6" s="13" t="n">
        <f aca="false">F6/G6</f>
        <v>19.421586388726</v>
      </c>
      <c r="J6" s="10" t="n">
        <v>26.9823126</v>
      </c>
    </row>
    <row r="7" customFormat="false" ht="27.75" hidden="false" customHeight="true" outlineLevel="0" collapsed="false">
      <c r="A7" s="5" t="s">
        <v>130</v>
      </c>
      <c r="B7" s="6" t="s">
        <v>133</v>
      </c>
      <c r="C7" s="10" t="n">
        <v>0.0313595</v>
      </c>
      <c r="D7" s="11" t="n">
        <v>109</v>
      </c>
      <c r="E7" s="11" t="n">
        <v>104</v>
      </c>
      <c r="F7" s="11" t="n">
        <v>489</v>
      </c>
      <c r="G7" s="10" t="n">
        <v>27.014688</v>
      </c>
      <c r="H7" s="12" t="n">
        <v>18.1</v>
      </c>
      <c r="I7" s="13" t="n">
        <f aca="false">F7/G7</f>
        <v>18.1012640234823</v>
      </c>
      <c r="J7" s="10" t="n">
        <v>27.1794359</v>
      </c>
    </row>
    <row r="8" customFormat="false" ht="27.75" hidden="false" customHeight="true" outlineLevel="0" collapsed="false">
      <c r="A8" s="5" t="s">
        <v>134</v>
      </c>
      <c r="B8" s="6" t="s">
        <v>131</v>
      </c>
      <c r="C8" s="10" t="n">
        <v>13.9834341</v>
      </c>
      <c r="D8" s="11" t="n">
        <v>102</v>
      </c>
      <c r="E8" s="11" t="n">
        <v>0</v>
      </c>
      <c r="F8" s="11" t="n">
        <v>84</v>
      </c>
      <c r="G8" s="10" t="n">
        <v>4.196442</v>
      </c>
      <c r="H8" s="12" t="n">
        <v>20.02</v>
      </c>
      <c r="I8" s="13" t="n">
        <f aca="false">F8/G8</f>
        <v>20.0169572223326</v>
      </c>
      <c r="J8" s="10" t="n">
        <v>19.3935762</v>
      </c>
    </row>
    <row r="9" customFormat="false" ht="27.75" hidden="false" customHeight="true" outlineLevel="0" collapsed="false">
      <c r="A9" s="5" t="s">
        <v>134</v>
      </c>
      <c r="B9" s="6" t="s">
        <v>132</v>
      </c>
      <c r="C9" s="10" t="n">
        <v>0.011259</v>
      </c>
      <c r="D9" s="11" t="n">
        <v>102</v>
      </c>
      <c r="E9" s="11" t="n">
        <v>97</v>
      </c>
      <c r="F9" s="11" t="n">
        <v>102</v>
      </c>
      <c r="G9" s="10" t="n">
        <v>4.731158</v>
      </c>
      <c r="H9" s="12" t="n">
        <v>21.56</v>
      </c>
      <c r="I9" s="13" t="n">
        <f aca="false">F9/G9</f>
        <v>21.5592038989186</v>
      </c>
      <c r="J9" s="10" t="n">
        <v>4.8751631</v>
      </c>
    </row>
    <row r="10" customFormat="false" ht="27.75" hidden="false" customHeight="true" outlineLevel="0" collapsed="false">
      <c r="A10" s="5" t="s">
        <v>134</v>
      </c>
      <c r="B10" s="6" t="s">
        <v>133</v>
      </c>
      <c r="C10" s="10" t="n">
        <v>0.008227</v>
      </c>
      <c r="D10" s="11" t="n">
        <v>102</v>
      </c>
      <c r="E10" s="11" t="n">
        <v>97</v>
      </c>
      <c r="F10" s="11" t="n">
        <v>97</v>
      </c>
      <c r="G10" s="10" t="n">
        <v>7.459571</v>
      </c>
      <c r="H10" s="12" t="n">
        <v>13</v>
      </c>
      <c r="I10" s="13" t="n">
        <f aca="false">F10/G10</f>
        <v>13.0034287494549</v>
      </c>
      <c r="J10" s="10" t="n">
        <v>7.6035057</v>
      </c>
    </row>
    <row r="12" customFormat="false" ht="30" hidden="false" customHeight="true" outlineLevel="0" collapsed="false">
      <c r="A12" s="14" t="s">
        <v>135</v>
      </c>
      <c r="B12" s="14"/>
      <c r="C12" s="14"/>
      <c r="D12" s="14"/>
      <c r="E12" s="14"/>
      <c r="F12" s="14"/>
      <c r="G12" s="14"/>
      <c r="H12" s="14"/>
      <c r="I12" s="14"/>
      <c r="J12" s="14"/>
    </row>
    <row r="13" customFormat="false" ht="30" hidden="false" customHeight="true" outlineLevel="0" collapsed="false">
      <c r="A13" s="14" t="s">
        <v>136</v>
      </c>
      <c r="B13" s="14"/>
      <c r="C13" s="14"/>
      <c r="D13" s="14"/>
      <c r="E13" s="14"/>
      <c r="F13" s="14"/>
      <c r="G13" s="14"/>
      <c r="H13" s="14"/>
      <c r="I13" s="14"/>
      <c r="J13" s="14"/>
    </row>
    <row r="14" customFormat="false" ht="30" hidden="false" customHeight="true" outlineLevel="0" collapsed="false">
      <c r="A14" s="14" t="s">
        <v>137</v>
      </c>
      <c r="B14" s="14"/>
      <c r="C14" s="14"/>
      <c r="D14" s="14"/>
      <c r="E14" s="14"/>
      <c r="F14" s="14"/>
      <c r="G14" s="14"/>
      <c r="H14" s="14"/>
      <c r="I14" s="14"/>
      <c r="J14" s="14"/>
    </row>
  </sheetData>
  <mergeCells count="3">
    <mergeCell ref="A12:J12"/>
    <mergeCell ref="A13:J13"/>
    <mergeCell ref="A14:J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80"/>
  </cols>
  <sheetData>
    <row r="1" customFormat="false" ht="17.25" hidden="false" customHeight="true" outlineLevel="0" collapsed="false">
      <c r="A1" s="2" t="s">
        <v>138</v>
      </c>
    </row>
    <row r="2" customFormat="false" ht="15" hidden="false" customHeight="true" outlineLevel="0" collapsed="false">
      <c r="A2" s="3" t="s">
        <v>139</v>
      </c>
    </row>
    <row r="4" customFormat="false" ht="15" hidden="false" customHeight="true" outlineLevel="0" collapsed="false">
      <c r="A4" s="4" t="s">
        <v>140</v>
      </c>
      <c r="B4" s="4" t="s">
        <v>141</v>
      </c>
      <c r="C4" s="4" t="s">
        <v>142</v>
      </c>
      <c r="D4" s="4" t="s">
        <v>5</v>
      </c>
    </row>
    <row r="5" customFormat="false" ht="15" hidden="false" customHeight="true" outlineLevel="0" collapsed="false">
      <c r="A5" s="15" t="s">
        <v>143</v>
      </c>
      <c r="B5" s="15"/>
      <c r="C5" s="15"/>
      <c r="D5" s="15"/>
    </row>
    <row r="6" customFormat="false" ht="16.5" hidden="false" customHeight="true" outlineLevel="0" collapsed="false">
      <c r="A6" s="5" t="s">
        <v>144</v>
      </c>
      <c r="B6" s="16" t="n">
        <v>5200</v>
      </c>
      <c r="C6" s="6" t="s">
        <v>145</v>
      </c>
      <c r="D6" s="5" t="s">
        <v>33</v>
      </c>
    </row>
    <row r="7" customFormat="false" ht="16.5" hidden="false" customHeight="true" outlineLevel="0" collapsed="false">
      <c r="A7" s="5" t="s">
        <v>146</v>
      </c>
      <c r="B7" s="17" t="n">
        <v>8</v>
      </c>
      <c r="C7" s="6" t="s">
        <v>147</v>
      </c>
      <c r="D7" s="5" t="s">
        <v>148</v>
      </c>
    </row>
    <row r="8" customFormat="false" ht="16.5" hidden="false" customHeight="true" outlineLevel="0" collapsed="false">
      <c r="A8" s="5" t="s">
        <v>149</v>
      </c>
      <c r="B8" s="17" t="n">
        <v>1</v>
      </c>
      <c r="C8" s="6" t="s">
        <v>150</v>
      </c>
      <c r="D8" s="5" t="s">
        <v>151</v>
      </c>
    </row>
    <row r="9" customFormat="false" ht="16.5" hidden="false" customHeight="true" outlineLevel="0" collapsed="false">
      <c r="A9" s="5" t="s">
        <v>152</v>
      </c>
      <c r="B9" s="17" t="n">
        <v>2</v>
      </c>
      <c r="C9" s="6" t="s">
        <v>150</v>
      </c>
      <c r="D9" s="5" t="s">
        <v>22</v>
      </c>
    </row>
    <row r="10" customFormat="false" ht="16.5" hidden="false" customHeight="true" outlineLevel="0" collapsed="false">
      <c r="A10" s="5" t="s">
        <v>153</v>
      </c>
      <c r="B10" s="18" t="n">
        <f aca="false">B6*B7*B8/1000</f>
        <v>41.6</v>
      </c>
      <c r="C10" s="6" t="s">
        <v>154</v>
      </c>
      <c r="D10" s="5" t="s">
        <v>155</v>
      </c>
    </row>
    <row r="11" customFormat="false" ht="16.5" hidden="false" customHeight="true" outlineLevel="0" collapsed="false">
      <c r="A11" s="5" t="s">
        <v>156</v>
      </c>
      <c r="B11" s="18" t="n">
        <f aca="false">B6*B7*B9/1000</f>
        <v>83.2</v>
      </c>
      <c r="C11" s="6" t="s">
        <v>154</v>
      </c>
      <c r="D11" s="5" t="s">
        <v>157</v>
      </c>
    </row>
    <row r="12" customFormat="false" ht="16.5" hidden="false" customHeight="true" outlineLevel="0" collapsed="false">
      <c r="A12" s="5" t="s">
        <v>158</v>
      </c>
      <c r="B12" s="19" t="n">
        <f aca="false">1-B10/B11</f>
        <v>0.5</v>
      </c>
      <c r="C12" s="6" t="s">
        <v>159</v>
      </c>
      <c r="D12" s="5" t="s">
        <v>160</v>
      </c>
    </row>
    <row r="13" customFormat="false" ht="15" hidden="false" customHeight="true" outlineLevel="0" collapsed="false">
      <c r="A13" s="15" t="s">
        <v>161</v>
      </c>
      <c r="B13" s="15"/>
      <c r="C13" s="15"/>
      <c r="D13" s="15"/>
    </row>
    <row r="14" customFormat="false" ht="16.5" hidden="false" customHeight="true" outlineLevel="0" collapsed="false">
      <c r="A14" s="5" t="s">
        <v>162</v>
      </c>
      <c r="B14" s="20" t="n">
        <f aca="false">AVERAGE(Measurements!F5:F7)</f>
        <v>506</v>
      </c>
      <c r="C14" s="6" t="s">
        <v>163</v>
      </c>
      <c r="D14" s="5" t="s">
        <v>164</v>
      </c>
    </row>
    <row r="15" customFormat="false" ht="30" hidden="false" customHeight="true" outlineLevel="0" collapsed="false">
      <c r="A15" s="5" t="s">
        <v>165</v>
      </c>
      <c r="B15" s="20" t="n">
        <f aca="false">AVERAGE(Measurements!F8:F10)</f>
        <v>94.3333333333333</v>
      </c>
      <c r="C15" s="6" t="s">
        <v>163</v>
      </c>
      <c r="D15" s="5" t="s">
        <v>166</v>
      </c>
    </row>
    <row r="16" customFormat="false" ht="16.5" hidden="false" customHeight="true" outlineLevel="0" collapsed="false">
      <c r="A16" s="5" t="s">
        <v>167</v>
      </c>
      <c r="B16" s="19" t="n">
        <f aca="false">1-B15/B14</f>
        <v>0.813570487483531</v>
      </c>
      <c r="C16" s="6" t="s">
        <v>159</v>
      </c>
      <c r="D16" s="5" t="s">
        <v>168</v>
      </c>
    </row>
    <row r="17" customFormat="false" ht="16.5" hidden="false" customHeight="true" outlineLevel="0" collapsed="false">
      <c r="A17" s="5" t="s">
        <v>169</v>
      </c>
      <c r="B17" s="21" t="n">
        <f aca="false">AVERAGE(Measurements!H5:H7)</f>
        <v>18.1533333333333</v>
      </c>
      <c r="C17" s="6" t="s">
        <v>170</v>
      </c>
      <c r="D17" s="5" t="s">
        <v>171</v>
      </c>
    </row>
    <row r="18" customFormat="false" ht="16.5" hidden="false" customHeight="true" outlineLevel="0" collapsed="false">
      <c r="A18" s="5" t="s">
        <v>172</v>
      </c>
      <c r="B18" s="21" t="n">
        <f aca="false">AVERAGE(Measurements!H8:H10)</f>
        <v>18.1933333333333</v>
      </c>
      <c r="C18" s="6" t="s">
        <v>170</v>
      </c>
      <c r="D18" s="5" t="s">
        <v>173</v>
      </c>
    </row>
    <row r="19" customFormat="false" ht="16.5" hidden="false" customHeight="true" outlineLevel="0" collapsed="false">
      <c r="A19" s="5" t="s">
        <v>174</v>
      </c>
      <c r="B19" s="21" t="n">
        <f aca="false">MIN(Measurements!H5:H10)</f>
        <v>13</v>
      </c>
      <c r="C19" s="6" t="s">
        <v>170</v>
      </c>
      <c r="D19" s="5" t="s">
        <v>175</v>
      </c>
    </row>
    <row r="20" customFormat="false" ht="16.5" hidden="false" customHeight="true" outlineLevel="0" collapsed="false">
      <c r="A20" s="5" t="s">
        <v>176</v>
      </c>
      <c r="B20" s="21" t="n">
        <f aca="false">MAX(Measurements!H5:H10)</f>
        <v>21.56</v>
      </c>
      <c r="C20" s="6" t="s">
        <v>170</v>
      </c>
      <c r="D20" s="5" t="s">
        <v>177</v>
      </c>
    </row>
    <row r="21" customFormat="false" ht="30" hidden="false" customHeight="true" outlineLevel="0" collapsed="false">
      <c r="A21" s="5" t="s">
        <v>178</v>
      </c>
      <c r="B21" s="21" t="n">
        <f aca="false">AVERAGE(Measurements!J6:J7)</f>
        <v>27.08087425</v>
      </c>
      <c r="C21" s="6" t="s">
        <v>179</v>
      </c>
      <c r="D21" s="5" t="s">
        <v>180</v>
      </c>
    </row>
    <row r="22" customFormat="false" ht="30" hidden="false" customHeight="true" outlineLevel="0" collapsed="false">
      <c r="A22" s="5" t="s">
        <v>181</v>
      </c>
      <c r="B22" s="21" t="n">
        <f aca="false">AVERAGE(Measurements!J9:J10)</f>
        <v>6.2393344</v>
      </c>
      <c r="C22" s="6" t="s">
        <v>179</v>
      </c>
      <c r="D22" s="5" t="s">
        <v>182</v>
      </c>
    </row>
    <row r="23" customFormat="false" ht="30" hidden="false" customHeight="true" outlineLevel="0" collapsed="false">
      <c r="A23" s="5" t="s">
        <v>183</v>
      </c>
      <c r="B23" s="22" t="n">
        <f aca="false">B21/B22</f>
        <v>4.34034666422111</v>
      </c>
      <c r="C23" s="6" t="s">
        <v>184</v>
      </c>
      <c r="D23" s="5" t="s">
        <v>185</v>
      </c>
    </row>
    <row r="24" customFormat="false" ht="16.5" hidden="false" customHeight="true" outlineLevel="0" collapsed="false">
      <c r="A24" s="5" t="s">
        <v>186</v>
      </c>
      <c r="B24" s="21" t="n">
        <f aca="false">Measurements!J5</f>
        <v>46.8935805</v>
      </c>
      <c r="C24" s="6" t="s">
        <v>179</v>
      </c>
      <c r="D24" s="5" t="s">
        <v>187</v>
      </c>
    </row>
    <row r="25" customFormat="false" ht="16.5" hidden="false" customHeight="true" outlineLevel="0" collapsed="false">
      <c r="A25" s="5" t="s">
        <v>188</v>
      </c>
      <c r="B25" s="21" t="n">
        <f aca="false">Measurements!J8</f>
        <v>19.3935762</v>
      </c>
      <c r="C25" s="6" t="s">
        <v>179</v>
      </c>
      <c r="D25" s="5" t="s">
        <v>187</v>
      </c>
    </row>
    <row r="26" customFormat="false" ht="30" hidden="false" customHeight="true" outlineLevel="0" collapsed="false">
      <c r="A26" s="5" t="s">
        <v>189</v>
      </c>
      <c r="B26" s="17" t="n">
        <v>8</v>
      </c>
      <c r="C26" s="6" t="s">
        <v>190</v>
      </c>
      <c r="D26" s="5" t="s">
        <v>191</v>
      </c>
    </row>
    <row r="27" customFormat="false" ht="30" hidden="false" customHeight="true" outlineLevel="0" collapsed="false">
      <c r="A27" s="5" t="s">
        <v>192</v>
      </c>
      <c r="B27" s="23" t="n">
        <f aca="false">B24+(B26-1)*B21</f>
        <v>236.45970025</v>
      </c>
      <c r="C27" s="6" t="s">
        <v>179</v>
      </c>
      <c r="D27" s="5" t="s">
        <v>193</v>
      </c>
    </row>
    <row r="28" customFormat="false" ht="16.5" hidden="false" customHeight="true" outlineLevel="0" collapsed="false">
      <c r="A28" s="5" t="s">
        <v>194</v>
      </c>
      <c r="B28" s="18" t="n">
        <f aca="false">B27/60</f>
        <v>3.94099500416667</v>
      </c>
      <c r="C28" s="6" t="s">
        <v>195</v>
      </c>
      <c r="D28" s="5"/>
    </row>
    <row r="29" customFormat="false" ht="16.5" hidden="false" customHeight="true" outlineLevel="0" collapsed="false">
      <c r="A29" s="5" t="s">
        <v>196</v>
      </c>
      <c r="B29" s="23" t="n">
        <f aca="false">B25+(B26-1)*B22</f>
        <v>63.068917</v>
      </c>
      <c r="C29" s="6" t="s">
        <v>179</v>
      </c>
      <c r="D29" s="5" t="s">
        <v>197</v>
      </c>
    </row>
    <row r="30" customFormat="false" ht="16.5" hidden="false" customHeight="true" outlineLevel="0" collapsed="false">
      <c r="A30" s="5" t="s">
        <v>198</v>
      </c>
      <c r="B30" s="24" t="n">
        <f aca="false">B25+(B26-1)*MIN(Measurements!J9:J10)</f>
        <v>53.5197179</v>
      </c>
      <c r="C30" s="6" t="s">
        <v>179</v>
      </c>
      <c r="D30" s="5" t="s">
        <v>199</v>
      </c>
    </row>
    <row r="31" customFormat="false" ht="16.5" hidden="false" customHeight="true" outlineLevel="0" collapsed="false">
      <c r="A31" s="5" t="s">
        <v>200</v>
      </c>
      <c r="B31" s="24" t="n">
        <f aca="false">B25+(B26-1)*MAX(Measurements!J9:J10)</f>
        <v>72.6181161</v>
      </c>
      <c r="C31" s="6" t="s">
        <v>179</v>
      </c>
      <c r="D31" s="5" t="s">
        <v>199</v>
      </c>
    </row>
    <row r="32" customFormat="false" ht="15" hidden="false" customHeight="true" outlineLevel="0" collapsed="false">
      <c r="A32" s="15" t="s">
        <v>201</v>
      </c>
      <c r="B32" s="15"/>
      <c r="C32" s="15"/>
      <c r="D32" s="15"/>
    </row>
    <row r="33" customFormat="false" ht="30" hidden="false" customHeight="true" outlineLevel="0" collapsed="false">
      <c r="A33" s="5" t="s">
        <v>202</v>
      </c>
      <c r="B33" s="25" t="n">
        <v>2.9</v>
      </c>
      <c r="C33" s="6" t="s">
        <v>203</v>
      </c>
      <c r="D33" s="5" t="s">
        <v>204</v>
      </c>
    </row>
    <row r="34" customFormat="false" ht="16.5" hidden="false" customHeight="true" outlineLevel="0" collapsed="false">
      <c r="A34" s="5" t="s">
        <v>205</v>
      </c>
      <c r="B34" s="25" t="n">
        <v>17.5</v>
      </c>
      <c r="C34" s="6" t="s">
        <v>203</v>
      </c>
      <c r="D34" s="5" t="s">
        <v>206</v>
      </c>
    </row>
    <row r="35" customFormat="false" ht="16.5" hidden="false" customHeight="true" outlineLevel="0" collapsed="false">
      <c r="A35" s="5" t="s">
        <v>207</v>
      </c>
      <c r="B35" s="18" t="n">
        <f aca="false">B10/B33</f>
        <v>14.3448275862069</v>
      </c>
      <c r="C35" s="6" t="s">
        <v>170</v>
      </c>
      <c r="D35" s="5" t="s">
        <v>208</v>
      </c>
    </row>
    <row r="36" customFormat="false" ht="16.5" hidden="false" customHeight="true" outlineLevel="0" collapsed="false">
      <c r="A36" s="5" t="s">
        <v>209</v>
      </c>
      <c r="B36" s="26" t="n">
        <f aca="false">B18/B35</f>
        <v>1.26828525641026</v>
      </c>
      <c r="C36" s="6" t="s">
        <v>184</v>
      </c>
      <c r="D36" s="5" t="s">
        <v>210</v>
      </c>
    </row>
    <row r="37" customFormat="false" ht="30" hidden="false" customHeight="true" outlineLevel="0" collapsed="false">
      <c r="A37" s="5" t="s">
        <v>211</v>
      </c>
      <c r="B37" s="27" t="str">
        <f aca="false">IF(B18&gt;B35,"Yes","No")</f>
        <v>Yes</v>
      </c>
      <c r="C37" s="6" t="s">
        <v>212</v>
      </c>
      <c r="D37" s="5" t="s">
        <v>213</v>
      </c>
    </row>
    <row r="38" customFormat="false" ht="15" hidden="false" customHeight="true" outlineLevel="0" collapsed="false">
      <c r="A38" s="15" t="s">
        <v>214</v>
      </c>
      <c r="B38" s="15"/>
      <c r="C38" s="15"/>
      <c r="D38" s="15"/>
    </row>
    <row r="39" customFormat="false" ht="16.5" hidden="false" customHeight="true" outlineLevel="0" collapsed="false">
      <c r="A39" s="5" t="s">
        <v>215</v>
      </c>
      <c r="B39" s="25" t="n">
        <v>16</v>
      </c>
      <c r="C39" s="6" t="s">
        <v>203</v>
      </c>
      <c r="D39" s="5" t="s">
        <v>9</v>
      </c>
    </row>
    <row r="40" customFormat="false" ht="16.5" hidden="false" customHeight="true" outlineLevel="0" collapsed="false">
      <c r="A40" s="5" t="s">
        <v>216</v>
      </c>
      <c r="B40" s="25" t="n">
        <v>15.7</v>
      </c>
      <c r="C40" s="6" t="s">
        <v>203</v>
      </c>
      <c r="D40" s="5" t="s">
        <v>9</v>
      </c>
    </row>
    <row r="41" customFormat="false" ht="16.5" hidden="false" customHeight="true" outlineLevel="0" collapsed="false">
      <c r="A41" s="5" t="s">
        <v>217</v>
      </c>
      <c r="B41" s="25" t="n">
        <v>14.2</v>
      </c>
      <c r="C41" s="6" t="s">
        <v>203</v>
      </c>
      <c r="D41" s="5" t="s">
        <v>33</v>
      </c>
    </row>
    <row r="42" customFormat="false" ht="16.5" hidden="false" customHeight="true" outlineLevel="0" collapsed="false">
      <c r="A42" s="5" t="s">
        <v>218</v>
      </c>
      <c r="B42" s="18" t="n">
        <f aca="false">B40-B41</f>
        <v>1.5</v>
      </c>
      <c r="C42" s="6" t="s">
        <v>203</v>
      </c>
      <c r="D42" s="5" t="s">
        <v>219</v>
      </c>
    </row>
    <row r="43" customFormat="false" ht="30" hidden="false" customHeight="true" outlineLevel="0" collapsed="false">
      <c r="A43" s="5" t="s">
        <v>220</v>
      </c>
      <c r="B43" s="28" t="n">
        <v>6</v>
      </c>
      <c r="C43" s="6" t="s">
        <v>203</v>
      </c>
      <c r="D43" s="5" t="s">
        <v>221</v>
      </c>
    </row>
    <row r="44" customFormat="false" ht="16.5" hidden="false" customHeight="true" outlineLevel="0" collapsed="false">
      <c r="A44" s="5" t="s">
        <v>222</v>
      </c>
      <c r="B44" s="25" t="n">
        <v>4.2</v>
      </c>
      <c r="C44" s="6" t="s">
        <v>203</v>
      </c>
      <c r="D44" s="5" t="s">
        <v>223</v>
      </c>
    </row>
    <row r="45" customFormat="false" ht="16.5" hidden="false" customHeight="true" outlineLevel="0" collapsed="false">
      <c r="A45" s="5" t="s">
        <v>224</v>
      </c>
      <c r="B45" s="27" t="str">
        <f aca="false">IF(B44&lt;B43,"Yes","No")</f>
        <v>Yes</v>
      </c>
      <c r="C45" s="6" t="s">
        <v>212</v>
      </c>
      <c r="D45" s="5" t="s">
        <v>225</v>
      </c>
    </row>
    <row r="46" customFormat="false" ht="16.5" hidden="false" customHeight="true" outlineLevel="0" collapsed="false">
      <c r="A46" s="5" t="s">
        <v>226</v>
      </c>
      <c r="B46" s="25" t="n">
        <v>24.9</v>
      </c>
      <c r="C46" s="6" t="s">
        <v>203</v>
      </c>
      <c r="D46" s="5" t="s">
        <v>227</v>
      </c>
    </row>
    <row r="47" customFormat="false" ht="16.5" hidden="false" customHeight="true" outlineLevel="0" collapsed="false">
      <c r="A47" s="5" t="s">
        <v>228</v>
      </c>
      <c r="B47" s="27" t="str">
        <f aca="false">IF(B46&gt;B39,"Yes","No")</f>
        <v>Yes</v>
      </c>
      <c r="C47" s="6" t="s">
        <v>212</v>
      </c>
      <c r="D47" s="5" t="s">
        <v>229</v>
      </c>
    </row>
    <row r="48" customFormat="false" ht="16.5" hidden="false" customHeight="true" outlineLevel="0" collapsed="false">
      <c r="A48" s="5" t="s">
        <v>230</v>
      </c>
      <c r="B48" s="27" t="str">
        <f aca="false">IF(B34&lt;=B40,"Yes","No")</f>
        <v>No</v>
      </c>
      <c r="C48" s="6" t="s">
        <v>212</v>
      </c>
      <c r="D48" s="5" t="s">
        <v>231</v>
      </c>
    </row>
    <row r="49" customFormat="false" ht="15" hidden="false" customHeight="true" outlineLevel="0" collapsed="false">
      <c r="A49" s="15" t="s">
        <v>232</v>
      </c>
      <c r="B49" s="15"/>
      <c r="C49" s="15"/>
      <c r="D49" s="15"/>
    </row>
    <row r="50" customFormat="false" ht="16.5" hidden="false" customHeight="true" outlineLevel="0" collapsed="false">
      <c r="A50" s="5" t="s">
        <v>233</v>
      </c>
      <c r="B50" s="25" t="n">
        <v>7.8</v>
      </c>
      <c r="C50" s="6" t="s">
        <v>203</v>
      </c>
      <c r="D50" s="5" t="s">
        <v>42</v>
      </c>
    </row>
    <row r="51" customFormat="false" ht="16.5" hidden="false" customHeight="true" outlineLevel="0" collapsed="false">
      <c r="A51" s="5" t="s">
        <v>234</v>
      </c>
      <c r="B51" s="19" t="n">
        <f aca="false">B50/B40</f>
        <v>0.496815286624204</v>
      </c>
      <c r="C51" s="6" t="s">
        <v>159</v>
      </c>
      <c r="D51" s="5" t="s">
        <v>235</v>
      </c>
    </row>
    <row r="52" customFormat="false" ht="16.5" hidden="false" customHeight="true" outlineLevel="0" collapsed="false">
      <c r="A52" s="5" t="s">
        <v>236</v>
      </c>
      <c r="B52" s="16" t="n">
        <v>477</v>
      </c>
      <c r="C52" s="6" t="s">
        <v>203</v>
      </c>
      <c r="D52" s="5" t="s">
        <v>9</v>
      </c>
    </row>
    <row r="53" customFormat="false" ht="16.5" hidden="false" customHeight="true" outlineLevel="0" collapsed="false">
      <c r="A53" s="5" t="s">
        <v>237</v>
      </c>
      <c r="B53" s="16" t="n">
        <v>274</v>
      </c>
      <c r="C53" s="6" t="s">
        <v>203</v>
      </c>
      <c r="D53" s="5" t="s">
        <v>9</v>
      </c>
    </row>
    <row r="54" customFormat="false" ht="16.5" hidden="false" customHeight="true" outlineLevel="0" collapsed="false">
      <c r="A54" s="5" t="s">
        <v>238</v>
      </c>
      <c r="B54" s="29" t="n">
        <f aca="false">B52-B53</f>
        <v>203</v>
      </c>
      <c r="C54" s="6" t="s">
        <v>203</v>
      </c>
      <c r="D54" s="5" t="s">
        <v>239</v>
      </c>
    </row>
    <row r="55" customFormat="false" ht="16.5" hidden="false" customHeight="true" outlineLevel="0" collapsed="false">
      <c r="A55" s="5" t="s">
        <v>240</v>
      </c>
      <c r="B55" s="19" t="n">
        <f aca="false">B54/B52</f>
        <v>0.425576519916143</v>
      </c>
      <c r="C55" s="6" t="s">
        <v>159</v>
      </c>
      <c r="D55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74"/>
    <col collapsed="false" customWidth="true" hidden="false" outlineLevel="0" max="3" min="3" style="1" width="62"/>
  </cols>
  <sheetData>
    <row r="1" customFormat="false" ht="17.25" hidden="false" customHeight="true" outlineLevel="0" collapsed="false">
      <c r="A1" s="2" t="s">
        <v>241</v>
      </c>
    </row>
    <row r="3" customFormat="false" ht="15" hidden="false" customHeight="true" outlineLevel="0" collapsed="false">
      <c r="A3" s="4" t="s">
        <v>73</v>
      </c>
      <c r="B3" s="4" t="s">
        <v>242</v>
      </c>
      <c r="C3" s="4" t="s">
        <v>243</v>
      </c>
    </row>
    <row r="4" customFormat="false" ht="30" hidden="false" customHeight="true" outlineLevel="0" collapsed="false">
      <c r="A4" s="5" t="s">
        <v>244</v>
      </c>
      <c r="B4" s="5" t="s">
        <v>245</v>
      </c>
      <c r="C4" s="5" t="s">
        <v>246</v>
      </c>
    </row>
    <row r="5" customFormat="false" ht="30" hidden="false" customHeight="true" outlineLevel="0" collapsed="false">
      <c r="A5" s="5" t="s">
        <v>247</v>
      </c>
      <c r="B5" s="5" t="s">
        <v>248</v>
      </c>
      <c r="C5" s="5" t="s">
        <v>249</v>
      </c>
    </row>
    <row r="6" customFormat="false" ht="16.5" hidden="false" customHeight="true" outlineLevel="0" collapsed="false">
      <c r="A6" s="5" t="s">
        <v>250</v>
      </c>
      <c r="B6" s="5" t="s">
        <v>251</v>
      </c>
      <c r="C6" s="5" t="s">
        <v>252</v>
      </c>
    </row>
    <row r="7" customFormat="false" ht="30" hidden="false" customHeight="true" outlineLevel="0" collapsed="false">
      <c r="A7" s="5" t="s">
        <v>253</v>
      </c>
      <c r="B7" s="5" t="s">
        <v>254</v>
      </c>
      <c r="C7" s="5" t="s">
        <v>255</v>
      </c>
    </row>
    <row r="8" customFormat="false" ht="16.5" hidden="false" customHeight="true" outlineLevel="0" collapsed="false">
      <c r="A8" s="5" t="s">
        <v>256</v>
      </c>
      <c r="B8" s="5" t="s">
        <v>257</v>
      </c>
      <c r="C8" s="5" t="s">
        <v>258</v>
      </c>
    </row>
    <row r="9" customFormat="false" ht="30" hidden="false" customHeight="true" outlineLevel="0" collapsed="false">
      <c r="A9" s="5" t="s">
        <v>259</v>
      </c>
      <c r="B9" s="5" t="s">
        <v>260</v>
      </c>
      <c r="C9" s="5" t="s">
        <v>261</v>
      </c>
    </row>
    <row r="10" customFormat="false" ht="30" hidden="false" customHeight="true" outlineLevel="0" collapsed="false">
      <c r="A10" s="5" t="s">
        <v>262</v>
      </c>
      <c r="B10" s="5" t="s">
        <v>263</v>
      </c>
      <c r="C10" s="5" t="s">
        <v>264</v>
      </c>
    </row>
    <row r="11" customFormat="false" ht="30" hidden="false" customHeight="true" outlineLevel="0" collapsed="false">
      <c r="A11" s="5" t="s">
        <v>265</v>
      </c>
      <c r="B11" s="5" t="s">
        <v>266</v>
      </c>
      <c r="C11" s="5" t="s">
        <v>267</v>
      </c>
    </row>
    <row r="12" customFormat="false" ht="16.5" hidden="false" customHeight="true" outlineLevel="0" collapsed="false">
      <c r="A12" s="5" t="s">
        <v>268</v>
      </c>
      <c r="B12" s="5" t="s">
        <v>269</v>
      </c>
      <c r="C12" s="5" t="s">
        <v>270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2026-10-23T03:23:41Z</dcterms:created>
  <dc:creator>Aridio Silva</dc:creator>
  <dc:description/>
  <dc:language>en-US</dc:language>
  <cp:lastModifiedBy/>
  <dcterms:modified xsi:type="dcterms:W3CDTF">2026-10-25T14:30:38Z</dcterms:modified>
  <cp:revision>0</cp:revision>
  <dc:subject/>
  <dc:title>SlothGuard: hardware resources and limitations (English version)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