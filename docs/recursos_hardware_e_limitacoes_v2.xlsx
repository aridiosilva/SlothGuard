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dware" sheetId="1" state="visible" r:id="rId3"/>
    <sheet name="Limitações" sheetId="2" state="visible" r:id="rId4"/>
    <sheet name="Medições" sheetId="3" state="visible" r:id="rId5"/>
    <sheet name="Cálculos" sheetId="4" state="visible" r:id="rId6"/>
    <sheet name="Fo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<sst xmlns="http://schemas.openxmlformats.org/spreadsheetml/2006/main" count="349" uniqueCount="276">
  <si>
    <t xml:space="preserve">Recursos de hardware e software do usuário</t>
  </si>
  <si>
    <t xml:space="preserve">Levantados em 22/10/2026 e atualizados em 23/10/2026 com as medições do Ollama. 'Print do usuário' = captura de tela enviada na conversa; os demais itens citam a fonte na coluna D.</t>
  </si>
  <si>
    <t xml:space="preserve">Categoria</t>
  </si>
  <si>
    <t xml:space="preserve">Item</t>
  </si>
  <si>
    <t xml:space="preserve">Especificação</t>
  </si>
  <si>
    <t xml:space="preserve">Origem / observação</t>
  </si>
  <si>
    <t xml:space="preserve">Máquina</t>
  </si>
  <si>
    <t xml:space="preserve">Equipamento</t>
  </si>
  <si>
    <t xml:space="preserve">Dell 24 All-in-One EC24250, Windows 11 Home Single Language, 64 bits, versão 26H2 (compilação 26300.9711)</t>
  </si>
  <si>
    <t xml:space="preserve">Print do usuário (Sistema &gt; Sobre)</t>
  </si>
  <si>
    <t xml:space="preserve">CPU</t>
  </si>
  <si>
    <t xml:space="preserve">Modelo</t>
  </si>
  <si>
    <t xml:space="preserve">13th Gen Intel Core i5-1334U</t>
  </si>
  <si>
    <t xml:space="preserve">Print do usuário</t>
  </si>
  <si>
    <t xml:space="preserve">Núcleos / threads</t>
  </si>
  <si>
    <t xml:space="preserve">10 núcleos (2 de desempenho + 8 de eficiência), 12 processadores lógicos</t>
  </si>
  <si>
    <t xml:space="preserve">Total 10/12: print do usuário. Divisão 2P+8E: eatyourbytes.com e pchardware.org</t>
  </si>
  <si>
    <t xml:space="preserve">Frequência</t>
  </si>
  <si>
    <t xml:space="preserve">Base 1,30 GHz; turbo até 4,60 GHz; 3,52 GHz no momento do print de 22/10</t>
  </si>
  <si>
    <t xml:space="preserve">Base e 3,52 GHz: print do usuário. Turbo: eatyourbytes.com (especificação Intel)</t>
  </si>
  <si>
    <t xml:space="preserve">Consumo base</t>
  </si>
  <si>
    <t xml:space="preserve">15 W</t>
  </si>
  <si>
    <t xml:space="preserve">eatyourbytes.com (especificação Intel)</t>
  </si>
  <si>
    <t xml:space="preserve">Cache</t>
  </si>
  <si>
    <t xml:space="preserve">L1 928 KB; L2 6,5 MB; L3 12,0 MB</t>
  </si>
  <si>
    <t xml:space="preserve">Print do usuário (Gerenciador de Tarefas &gt; CPU)</t>
  </si>
  <si>
    <t xml:space="preserve">Virtualização</t>
  </si>
  <si>
    <t xml:space="preserve">Habilitada</t>
  </si>
  <si>
    <t xml:space="preserve">RAM</t>
  </si>
  <si>
    <t xml:space="preserve">Capacidade</t>
  </si>
  <si>
    <t xml:space="preserve">16,0 GB instalados (15,7 GB utilizáveis)</t>
  </si>
  <si>
    <t xml:space="preserve">Tipo e velocidade</t>
  </si>
  <si>
    <t xml:space="preserve">SODIMM, 5200 MT/s</t>
  </si>
  <si>
    <t xml:space="preserve">Print do usuário (Gerenciador de Tarefas &gt; Memória)</t>
  </si>
  <si>
    <t xml:space="preserve">Canais</t>
  </si>
  <si>
    <t xml:space="preserve">1 de 2 slots usados: canal único</t>
  </si>
  <si>
    <t xml:space="preserve">Print do usuário. Conclusão de canal único: inferida de 1 módulo em uso (a CPU suporta 2 canais)</t>
  </si>
  <si>
    <t xml:space="preserve">GPU</t>
  </si>
  <si>
    <t xml:space="preserve">Intel UHD Graphics, 128 MB dedicados</t>
  </si>
  <si>
    <t xml:space="preserve">Print do usuário. A Intel lista o i5-1334U com Iris Xe apenas como 'elegível' (pchardware.org); o Windows mostrar UHD é compatível com canal único (inferência)</t>
  </si>
  <si>
    <t xml:space="preserve">Memória compartilhada</t>
  </si>
  <si>
    <t xml:space="preserve">1,2 GB em uso de 7,8 GB possíveis (emprestados da RAM)</t>
  </si>
  <si>
    <t xml:space="preserve">Print do usuário (Gerenciador de Tarefas &gt; GPU)</t>
  </si>
  <si>
    <t xml:space="preserve">Driver</t>
  </si>
  <si>
    <t xml:space="preserve">32.0.101.7088, de 17/06/2026; DirectX 12 (nível de recursos 12.1)</t>
  </si>
  <si>
    <t xml:space="preserve">Disco</t>
  </si>
  <si>
    <t xml:space="preserve">Armazenamento</t>
  </si>
  <si>
    <t xml:space="preserve">477 GB totais, 274 GB usados (ver livre na aba Cálculos)</t>
  </si>
  <si>
    <t xml:space="preserve">Software</t>
  </si>
  <si>
    <t xml:space="preserve">Ollama</t>
  </si>
  <si>
    <t xml:space="preserve">Versão 0.40.8</t>
  </si>
  <si>
    <t xml:space="preserve">Print do usuário (terminal, 23/10/2026)</t>
  </si>
  <si>
    <t xml:space="preserve">Modelo local</t>
  </si>
  <si>
    <t xml:space="preserve">gemma4:e2b, 4,6 GB em disco. O download mostrou camadas de 3,5 GB, 986 MB, 97 MB e 241 B</t>
  </si>
  <si>
    <t xml:space="preserve">Print do usuário (ollama list e ollama pull)</t>
  </si>
  <si>
    <t xml:space="preserve">Python do projeto (.venv)</t>
  </si>
  <si>
    <t xml:space="preserve">Python 3.14.7, pytest 9.1.1, pip 26.2.2</t>
  </si>
  <si>
    <t xml:space="preserve">Informado pelo usuário</t>
  </si>
  <si>
    <t xml:space="preserve">Estado em 22/10</t>
  </si>
  <si>
    <t xml:space="preserve">14,2 GB em uso; 1,5 GB disponível; confirmada 24,9 de 30,2 GB</t>
  </si>
  <si>
    <t xml:space="preserve">37% de uso; 414 processos; 7028 threads; tempo de atividade 1:07:02:05 (dias:horas:min:s, ou seja, cerca de 1 dia e 7 h)</t>
  </si>
  <si>
    <t xml:space="preserve">Estado em 23/10</t>
  </si>
  <si>
    <t xml:space="preserve">RAM livre antes da medição</t>
  </si>
  <si>
    <t xml:space="preserve">4,2 GB (medida duas vezes antes da execução 1, com Win32_OperatingSystem.FreePhysicalMemory)</t>
  </si>
  <si>
    <t xml:space="preserve">Print do usuário (terminal). Não medida antes das outras execuções nem durante nenhuma</t>
  </si>
  <si>
    <t xml:space="preserve">O que o hardware limita no projeto SlothGuard (atualizado em 23/10/2026)</t>
  </si>
  <si>
    <t xml:space="preserve">A coluna F separa o que foi medido do que é estimativa. As mitigações são sugestões; a de 'think=false' foi medida (aba Medições), as demais não foram testadas.</t>
  </si>
  <si>
    <t xml:space="preserve">#</t>
  </si>
  <si>
    <t xml:space="preserve">Limitação</t>
  </si>
  <si>
    <t xml:space="preserve">Causa</t>
  </si>
  <si>
    <t xml:space="preserve">Consequência prática</t>
  </si>
  <si>
    <t xml:space="preserve">Mitigação</t>
  </si>
  <si>
    <t xml:space="preserve">Natureza da informação</t>
  </si>
  <si>
    <t xml:space="preserve">Fonte</t>
  </si>
  <si>
    <t xml:space="preserve">Velocidade de geração</t>
  </si>
  <si>
    <t xml:space="preserve">Memória em canal único: cerca de 41,6 GB/s (cálculo na aba Cálculos) contra 83,2 GB/s em dois canais; CPU de 15 W.</t>
  </si>
  <si>
    <t xml:space="preserve">Medido: 13,00 a 21,56 tokens/s no gemma4:e2b em 6 execuções. A estimativa teórica anterior (cerca de 14 tokens/s) foi superada, ou seja, a hipótese estava errada.</t>
  </si>
  <si>
    <t xml:space="preserve">Prompts curtos, geração em lote, cache das explicações, think=false.</t>
  </si>
  <si>
    <t xml:space="preserve">Medido (6 execuções, 1 máquina); causa da variação não medida</t>
  </si>
  <si>
    <t xml:space="preserve">Aba Medições; prints do terminal de 23/10/2026</t>
  </si>
  <si>
    <t xml:space="preserve">Tamanho do modelo</t>
  </si>
  <si>
    <t xml:space="preserve">15,7 GB de RAM utilizável, compartilhados com Windows e programas.</t>
  </si>
  <si>
    <t xml:space="preserve">E2B (4,6 GB em disco) rodou com 4,2 GB de RAM livre antes da medição. E4B e 12B não foram testados. 26B e 31B ficam fora: os pesos quantizados do 31B (17,5 GB, valor de terceiros) superam a RAM utilizável.</t>
  </si>
  <si>
    <t xml:space="preserve">Usar gemma4:e2b. Testar o E4B só se sobrar tempo.</t>
  </si>
  <si>
    <t xml:space="preserve">E2B: medido. E4B e 12B: não testados. 31B: cálculo a partir de fonte de terceiros</t>
  </si>
  <si>
    <t xml:space="preserve">Print do terminal; jacar.es; ai.google.dev/gemma/docs/core</t>
  </si>
  <si>
    <t xml:space="preserve">Sem GPU dedicada</t>
  </si>
  <si>
    <t xml:space="preserve">Intel UHD com 128 MB dedicados; sem CUDA. Suporte do Ollama a GPU Intel via Vulkan é experimental.</t>
  </si>
  <si>
    <t xml:space="preserve">As medições foram feitas na configuração padrão do Ollama; não verificamos se a GPU integrada foi usada. Fine-tuning local é inviável.</t>
  </si>
  <si>
    <t xml:space="preserve">Vulkan só como teste opcional; fine-tuning fora do escopo.</t>
  </si>
  <si>
    <t xml:space="preserve">Fontes verificadas; uso da iGPU não testado</t>
  </si>
  <si>
    <t xml:space="preserve">dasroot.net; ggml-org/llama.cpp issue 19327; ai.google.dev/gemma/docs/core</t>
  </si>
  <si>
    <t xml:space="preserve">CPU de baixo consumo</t>
  </si>
  <si>
    <t xml:space="preserve">Chip de 15 W (base).</t>
  </si>
  <si>
    <t xml:space="preserve">A velocidade variou de 13,00 a 21,56 tokens/s entre execuções. Energia e temperatura são hipóteses para a variação, não medidas.</t>
  </si>
  <si>
    <t xml:space="preserve">Medir a velocidade sustentada em um relatório completo; modo de energia 'Melhor desempenho'.</t>
  </si>
  <si>
    <t xml:space="preserve">Variação medida; causa não medida</t>
  </si>
  <si>
    <t xml:space="preserve">Aba Medições</t>
  </si>
  <si>
    <t xml:space="preserve">Uso simultâneo e RAM ocupada</t>
  </si>
  <si>
    <t xml:space="preserve">Em 22/10: 14,2 GB em uso e 1,5 GB livres. Em 23/10: 4,2 GB livres antes da medição.</t>
  </si>
  <si>
    <t xml:space="preserve">O modelo rodou nas 6 execuções com 4,2 GB livres, abaixo da margem de 6 GB que sugeri; a RAM não foi medida durante as execuções. Rodar Ollama, app, navegador e Kaggle juntos continua arriscado.</t>
  </si>
  <si>
    <t xml:space="preserve">Fechar programas pesados e reiniciar o Windows antes de testes e da gravação do vídeo.</t>
  </si>
  <si>
    <t xml:space="preserve">RAM antes: medida. Durante: não medida. Meta de 6 GB: hipótese minha</t>
  </si>
  <si>
    <t xml:space="preserve">Prints de Memória (22/10) e do terminal (23/10)</t>
  </si>
  <si>
    <t xml:space="preserve">Raciocínio (thinking) ligado por padrão</t>
  </si>
  <si>
    <t xml:space="preserve">O gemma4 gera um rascunho de raciocínio antes da resposta, e a documentação do Ollama diz que isso vem ativado por padrão.</t>
  </si>
  <si>
    <t xml:space="preserve">Medido: com o raciocínio ligado foram ~506 tokens por resposta e ~27,1 s (execuções mornas); desligado, ~94 tokens e ~6,2 s. Ganho de ~4,3x, com a mesma velocidade por token.</t>
  </si>
  <si>
    <t xml:space="preserve">think=false na CLI (--think=false) e no campo think da API; o texto final fica separado do raciocínio, segundo a documentação.</t>
  </si>
  <si>
    <t xml:space="preserve">Medido (3 execuções por modo)</t>
  </si>
  <si>
    <t xml:space="preserve">Aba Medições; docs.ollama.com/capabilities/thinking</t>
  </si>
  <si>
    <t xml:space="preserve">Qualidade do texto do modelo</t>
  </si>
  <si>
    <t xml:space="preserve">Modelo pequeno (E2B) com prompt de uma instrução.</t>
  </si>
  <si>
    <t xml:space="preserve">A palavra 'critical' apareceu em 4 de 6 respostas, embora a gravidade fosse 'high'. Uma resposta teve 5 frases apesar do limite de 4.</t>
  </si>
  <si>
    <t xml:space="preserve">Gravidade vem sempre das regras, nunca do modelo. Validar o número de frases e usar o texto de reserva (a ser implementado, com testes primeiro).</t>
  </si>
  <si>
    <t xml:space="preserve">Observado em 6 respostas (amostra pequena)</t>
  </si>
  <si>
    <t xml:space="preserve">Prints do terminal de 23/10/2026</t>
  </si>
  <si>
    <t xml:space="preserve">O que continua viável</t>
  </si>
  <si>
    <t xml:space="preserve">SlothGuard como desenhado, com think=false: regras SoD em código, modelo local E2B explicando um achado por vez, geração em lote, relatório montado por código. Para 8 achados a estimativa é de cerca de 54 a 73 s (aba Cálculos; estimativa feita com 3 execuções, não é uma medição do relatório inteiro). Rodar em equipamento comum, sem GPU dedicada, reforça o argumento do desafio sobre IA aberta acessível.</t>
  </si>
  <si>
    <t xml:space="preserve">Pendências</t>
  </si>
  <si>
    <t xml:space="preserve">Confirmar em qual formato estão os pesos do Gemma 4 baixados do Kaggle (Keras, Transformers ou GGUF) e quais tamanhos você tem.</t>
  </si>
  <si>
    <t xml:space="preserve">T04b: usuário de teste no Auth0 com push cadastrado no app Guardian (fica para 23/10).</t>
  </si>
  <si>
    <t xml:space="preserve">Opcional: medir o gemma4:e4b na mesma tabela, se sobrar tempo e RAM.</t>
  </si>
  <si>
    <t xml:space="preserve">Opcional: medir um relatório completo de 8 achados ponta a ponta, quando o código existir.</t>
  </si>
  <si>
    <t xml:space="preserve">Medições do Ollama (gemma4:e2b), 23/10/2026</t>
  </si>
  <si>
    <t xml:space="preserve">Origem: prints do terminal enviados pelo usuário (ollama 0.40.8, saída do --verbose). Azul = valor copiado do print; preto = fórmula. 'Cache' ausente na execução fria foi tratado como 0.</t>
  </si>
  <si>
    <t xml:space="preserve">Modo</t>
  </si>
  <si>
    <t xml:space="preserve">Execução</t>
  </si>
  <si>
    <t xml:space="preserve">Carga (s)</t>
  </si>
  <si>
    <t xml:space="preserve">Tokens do prompt</t>
  </si>
  <si>
    <t xml:space="preserve">Tokens em cache</t>
  </si>
  <si>
    <t xml:space="preserve">Tokens gerados</t>
  </si>
  <si>
    <t xml:space="preserve">Duração da geração (s)</t>
  </si>
  <si>
    <t xml:space="preserve">Taxa informada (tok/s)</t>
  </si>
  <si>
    <t xml:space="preserve">Taxa recalculada (tok/s)</t>
  </si>
  <si>
    <t xml:space="preserve">Total (s)</t>
  </si>
  <si>
    <t xml:space="preserve">Raciocínio ligado</t>
  </si>
  <si>
    <t xml:space="preserve">1 (fria)</t>
  </si>
  <si>
    <t xml:space="preserve">2</t>
  </si>
  <si>
    <t xml:space="preserve">3</t>
  </si>
  <si>
    <t xml:space="preserve">Raciocínio desligado (--think=false)</t>
  </si>
  <si>
    <t xml:space="preserve">Taxa recalculada = tokens gerados / duração da geração; confere com a taxa informada pelo Ollama.</t>
  </si>
  <si>
    <t xml:space="preserve">Nas execuções 2 e 3 de cada modo, quase todo o prompt veio do cache (104 de 109 e 97 de 102 tokens), por isso a taxa de leitura do prompt dessas execuções não é comparável à da execução 1 e não consta nesta tabela.</t>
  </si>
  <si>
    <t xml:space="preserve">Condições: RAM livre antes da execução 1 de 23/10 = 4,2 GB; modo de energia e programas abertos não foram registrados; a RAM durante as execuções não foi medida.</t>
  </si>
  <si>
    <t xml:space="preserve">Cálculos de apoio</t>
  </si>
  <si>
    <t xml:space="preserve">Legenda: azul = entrada (print, fonte citada ou hipótese); preto = fórmula; verde = fórmula que lê a aba Medições; fundo amarelo = hipótese minha, editável.</t>
  </si>
  <si>
    <t xml:space="preserve">Parâmetro</t>
  </si>
  <si>
    <t xml:space="preserve">Valor</t>
  </si>
  <si>
    <t xml:space="preserve">Unidade</t>
  </si>
  <si>
    <t xml:space="preserve">1. Banda de memória (canal único x duplo)</t>
  </si>
  <si>
    <t xml:space="preserve">Taxa de transferência da RAM</t>
  </si>
  <si>
    <t xml:space="preserve">MT/s</t>
  </si>
  <si>
    <t xml:space="preserve">Largura do barramento por canal</t>
  </si>
  <si>
    <t xml:space="preserve">bytes</t>
  </si>
  <si>
    <t xml:space="preserve">64 bits por canal (eatyourbytes.com cita 2 x 64 bits para a CPU)</t>
  </si>
  <si>
    <t xml:space="preserve">Canais em uso</t>
  </si>
  <si>
    <t xml:space="preserve">canais</t>
  </si>
  <si>
    <t xml:space="preserve">Print do usuário: 1 de 2 slots usados</t>
  </si>
  <si>
    <t xml:space="preserve">Canais suportados pela CPU</t>
  </si>
  <si>
    <t xml:space="preserve">Banda atual (canais em uso)</t>
  </si>
  <si>
    <t xml:space="preserve">GB/s</t>
  </si>
  <si>
    <t xml:space="preserve">MT/s x bytes x canais / 1000. Valor teórico de pico</t>
  </si>
  <si>
    <t xml:space="preserve">Banda máxima da CPU (dois canais)</t>
  </si>
  <si>
    <t xml:space="preserve">Confere com os 83,2 GB/s de eatyourbytes.com</t>
  </si>
  <si>
    <t xml:space="preserve">Perda de banda frente ao máximo</t>
  </si>
  <si>
    <t xml:space="preserve">%</t>
  </si>
  <si>
    <t xml:space="preserve">Efeito de usar um único módulo de memória</t>
  </si>
  <si>
    <t xml:space="preserve">2. Resumo das medições do Ollama (gemma4:e2b; dados na aba Medições)</t>
  </si>
  <si>
    <t xml:space="preserve">Tokens gerados por resposta, raciocínio ligado (média)</t>
  </si>
  <si>
    <t xml:space="preserve">tokens</t>
  </si>
  <si>
    <t xml:space="preserve">Média das 3 execuções</t>
  </si>
  <si>
    <t xml:space="preserve">Tokens gerados por resposta, raciocínio desligado (média)</t>
  </si>
  <si>
    <t xml:space="preserve">Média das 3 execuções com --think=false</t>
  </si>
  <si>
    <t xml:space="preserve">Redução de tokens gerados</t>
  </si>
  <si>
    <t xml:space="preserve">Quanto do que o modelo gerava era rascunho de raciocínio, em média</t>
  </si>
  <si>
    <t xml:space="preserve">Velocidade de geração, raciocínio ligado (média)</t>
  </si>
  <si>
    <t xml:space="preserve">tokens/s</t>
  </si>
  <si>
    <t xml:space="preserve">Taxa informada pelo Ollama</t>
  </si>
  <si>
    <t xml:space="preserve">Velocidade de geração, raciocínio desligado (média)</t>
  </si>
  <si>
    <t xml:space="preserve">A velocidade por token é praticamente a mesma nos dois modos</t>
  </si>
  <si>
    <t xml:space="preserve">Velocidade mínima nas 6 execuções</t>
  </si>
  <si>
    <t xml:space="preserve">Causa da variação não medida</t>
  </si>
  <si>
    <t xml:space="preserve">Velocidade máxima nas 6 execuções</t>
  </si>
  <si>
    <t xml:space="preserve">Use a faixa mínimo a máximo no post, não só o melhor número</t>
  </si>
  <si>
    <t xml:space="preserve">Tempo total, execuções 2 e 3, raciocínio ligado (média)</t>
  </si>
  <si>
    <t xml:space="preserve">s</t>
  </si>
  <si>
    <t xml:space="preserve">Execuções 'mornas' (modelo já carregado)</t>
  </si>
  <si>
    <t xml:space="preserve">Tempo total, execuções 2 e 3, raciocínio desligado (média)</t>
  </si>
  <si>
    <t xml:space="preserve">Execuções 'mornas'</t>
  </si>
  <si>
    <t xml:space="preserve">Ganho de velocidade (tempo total) ao desligar o raciocínio</t>
  </si>
  <si>
    <t xml:space="preserve">x</t>
  </si>
  <si>
    <t xml:space="preserve">Tempo ligado / tempo desligado</t>
  </si>
  <si>
    <t xml:space="preserve">Tempo total da execução fria, raciocínio ligado</t>
  </si>
  <si>
    <t xml:space="preserve">Inclui o carregamento do modelo</t>
  </si>
  <si>
    <t xml:space="preserve">Tempo total da execução fria, raciocínio desligado</t>
  </si>
  <si>
    <t xml:space="preserve">Número de achados do relatório</t>
  </si>
  <si>
    <t xml:space="preserve">achados</t>
  </si>
  <si>
    <t xml:space="preserve">Mesmo número de achados que o conjunto sintético gerou em uma execução de verificação (5 high, 2 medium e 1 low)</t>
  </si>
  <si>
    <t xml:space="preserve">Estimativa do relatório, raciocínio ligado</t>
  </si>
  <si>
    <t xml:space="preserve">ESTIMATIVA, não medição ponta a ponta: execução fria + (N-1) execuções mornas, supondo prompts do mesmo tamanho</t>
  </si>
  <si>
    <t xml:space="preserve">   em minutos</t>
  </si>
  <si>
    <t xml:space="preserve">min</t>
  </si>
  <si>
    <t xml:space="preserve">Estimativa do relatório, raciocínio desligado</t>
  </si>
  <si>
    <t xml:space="preserve">ESTIMATIVA, mesma conta</t>
  </si>
  <si>
    <t xml:space="preserve">   cenário otimista (execução morna mais rápida)</t>
  </si>
  <si>
    <t xml:space="preserve">ESTIMATIVA</t>
  </si>
  <si>
    <t xml:space="preserve">   cenário pessimista (execução morna mais lenta)</t>
  </si>
  <si>
    <t xml:space="preserve">3. Hipótese anterior de teto de velocidade (REFUTADA pela medição)</t>
  </si>
  <si>
    <t xml:space="preserve">Pesos do Gemma 4 E2B quantizado (4 bits), segundo fonte de terceiros</t>
  </si>
  <si>
    <t xml:space="preserve">GB</t>
  </si>
  <si>
    <t xml:space="preserve">jacar.es, que cita a tabela do Google (não conferida diretamente). O arquivo no Ollama tem 4,6 GB (ollama list)</t>
  </si>
  <si>
    <t xml:space="preserve">Pesos do Gemma 4 31B quantizado (4 bits)</t>
  </si>
  <si>
    <t xml:space="preserve">jacar.es, que cita a tabela do Google (não conferida diretamente)</t>
  </si>
  <si>
    <t xml:space="preserve">Teto antigo (banda atual / pesos do E2B)</t>
  </si>
  <si>
    <t xml:space="preserve">Hipótese minha de que o modelo lê todos os pesos a cada token</t>
  </si>
  <si>
    <t xml:space="preserve">Medido (raciocínio desligado) / teto antigo</t>
  </si>
  <si>
    <t xml:space="preserve">Acima de 1 = a velocidade medida passou o teto</t>
  </si>
  <si>
    <t xml:space="preserve">Hipótese refutada (medido acima do teto)?</t>
  </si>
  <si>
    <t xml:space="preserve">—</t>
  </si>
  <si>
    <t xml:space="preserve">O modelo não lê todos os pesos a cada token; o motivo exato é desconhecido (hipótese: parâmetros 'efetivos' do E2B)</t>
  </si>
  <si>
    <t xml:space="preserve">4. Orçamento de RAM</t>
  </si>
  <si>
    <t xml:space="preserve">RAM física instalada</t>
  </si>
  <si>
    <t xml:space="preserve">RAM utilizável</t>
  </si>
  <si>
    <t xml:space="preserve">RAM em uso no print de 22/10</t>
  </si>
  <si>
    <t xml:space="preserve">RAM livre em 22/10 (calculada)</t>
  </si>
  <si>
    <t xml:space="preserve">O print mostrava 1,5 GB disponível, o que confere</t>
  </si>
  <si>
    <t xml:space="preserve">Margem livre desejada antes de carregar o modelo</t>
  </si>
  <si>
    <t xml:space="preserve">HIPÓTESE MINHA (limite inferior de 6 a 8 GB). Não é número oficial. O modelo rodou com menos (ver abaixo)</t>
  </si>
  <si>
    <t xml:space="preserve">RAM livre antes da medição de 23/10</t>
  </si>
  <si>
    <t xml:space="preserve">Print do usuário (terminal, medida duas vezes). Não medida durante as execuções</t>
  </si>
  <si>
    <t xml:space="preserve">Rodou com menos RAM livre que a margem desejada?</t>
  </si>
  <si>
    <t xml:space="preserve">Se 'Sim', a margem de 6 GB foi conservadora para o E2B</t>
  </si>
  <si>
    <t xml:space="preserve">Memória confirmada (commit) no print de 22/10</t>
  </si>
  <si>
    <t xml:space="preserve">Print do usuário (24,9 de 30,2 GB)</t>
  </si>
  <si>
    <t xml:space="preserve">Confirmada acima da RAM física?</t>
  </si>
  <si>
    <t xml:space="preserve">Indica pressão de memória; sozinho, não prova uso ativo do arquivo de paginação</t>
  </si>
  <si>
    <t xml:space="preserve">Pesos do 31B cabem na RAM utilizável?</t>
  </si>
  <si>
    <t xml:space="preserve">Compara só os pesos, sem contexto nem sistema operacional</t>
  </si>
  <si>
    <t xml:space="preserve">5. GPU compartilhada e disco</t>
  </si>
  <si>
    <t xml:space="preserve">Memória de GPU compartilhada possível</t>
  </si>
  <si>
    <t xml:space="preserve">Fração da RAM utilizável</t>
  </si>
  <si>
    <t xml:space="preserve">É memória emprestada da mesma RAM, não capacidade adicional</t>
  </si>
  <si>
    <t xml:space="preserve">Disco total</t>
  </si>
  <si>
    <t xml:space="preserve">Disco usado</t>
  </si>
  <si>
    <t xml:space="preserve">Disco livre</t>
  </si>
  <si>
    <t xml:space="preserve">Espaço para modelos e arquivos do projeto</t>
  </si>
  <si>
    <t xml:space="preserve">Disco livre (%)</t>
  </si>
  <si>
    <t xml:space="preserve">Fontes consultadas</t>
  </si>
  <si>
    <t xml:space="preserve">Endereço</t>
  </si>
  <si>
    <t xml:space="preserve">Usada para</t>
  </si>
  <si>
    <t xml:space="preserve">Capturas de tela do Windows e do terminal enviadas pelo usuário</t>
  </si>
  <si>
    <t xml:space="preserve">Sistema &gt; Sobre; Gerenciador de Tarefas (GPU, Memória, CPU), 22/10/2026; terminal com ollama, 23/10/2026</t>
  </si>
  <si>
    <t xml:space="preserve">Todos os dados medidos da máquina e do Ollama</t>
  </si>
  <si>
    <t xml:space="preserve">eatyourbytes.com: Intel Core i5-1334U</t>
  </si>
  <si>
    <t xml:space="preserve">https://www.eatyourbytes.com/cpu-detail/intel-i5-1334u/</t>
  </si>
  <si>
    <t xml:space="preserve">10 núcleos (2P+8E), 12 threads, 15 W, turbo 4,6 GHz, 2 canais, 83,2 GB/s</t>
  </si>
  <si>
    <t xml:space="preserve">pchardware.org: Intel Core i5-1334U</t>
  </si>
  <si>
    <t xml:space="preserve">https://pchardware.org/processors/intel-core-i5-1334u/</t>
  </si>
  <si>
    <t xml:space="preserve">Divisão 2P+8E; gráficos Iris Xe apenas como 'elegível'</t>
  </si>
  <si>
    <t xml:space="preserve">jacar.es: Gemma 4 locally with Ollama</t>
  </si>
  <si>
    <t xml:space="preserve">https://jacar.es/en/gemma-4-locally-with-ollama/</t>
  </si>
  <si>
    <t xml:space="preserve">Pesos quantizados de 2,9 GB (E2B) a 17,5 GB (31B), citando a tabela do Google</t>
  </si>
  <si>
    <t xml:space="preserve">Google AI for Developers: Gemma 4</t>
  </si>
  <si>
    <t xml:space="preserve">https://ai.google.dev/gemma/docs/core</t>
  </si>
  <si>
    <t xml:space="preserve">Tamanhos do Gemma 4 e maior consumo de memória no fine-tuning</t>
  </si>
  <si>
    <t xml:space="preserve">Documentação do Ollama: Thinking</t>
  </si>
  <si>
    <t xml:space="preserve">https://docs.ollama.com/capabilities/thinking</t>
  </si>
  <si>
    <t xml:space="preserve">Raciocínio ativado por padrão; --think=false na CLI e campo think na API</t>
  </si>
  <si>
    <t xml:space="preserve">Documentação do Ollama: Windows</t>
  </si>
  <si>
    <t xml:space="preserve">https://docs.ollama.com/windows</t>
  </si>
  <si>
    <t xml:space="preserve">Instalação no Windows; execução em segundo plano; API em localhost:11434</t>
  </si>
  <si>
    <t xml:space="preserve">dasroot.net: Ollama performance tuning</t>
  </si>
  <si>
    <t xml:space="preserve">https://dasroot.net/posts/2026/01/ollama-performance-tuning-gpu-acceleration-model-quantization/</t>
  </si>
  <si>
    <t xml:space="preserve">Suporte experimental a Vulkan (OLLAMA_VULKAN=1)</t>
  </si>
  <si>
    <t xml:space="preserve">GitHub ggml-org/llama.cpp, issue 19327</t>
  </si>
  <si>
    <t xml:space="preserve">https://github.com/ggml-org/llama.cpp/issues/19327</t>
  </si>
  <si>
    <t xml:space="preserve">Relato de saída corrompida em iGPU Intel via Vulkan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</si>
</sst>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0"/>
    <numFmt numFmtId="167" formatCode="#,##0"/>
    <numFmt numFmtId="168" formatCode="0"/>
    <numFmt numFmtId="169" formatCode="0.0"/>
    <numFmt numFmtId="170" formatCode="0.0%"/>
    <numFmt numFmtId="171" formatCode="0.0\x"/>
    <numFmt numFmtId="172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0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6.5" hidden="false" customHeight="tru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30" hidden="false" customHeight="true" outlineLevel="0" collapsed="false">
      <c r="A7" s="4" t="s">
        <v>10</v>
      </c>
      <c r="B7" s="4" t="s">
        <v>14</v>
      </c>
      <c r="C7" s="4" t="s">
        <v>15</v>
      </c>
      <c r="D7" s="4" t="s">
        <v>16</v>
      </c>
    </row>
    <row r="8" customFormat="false" ht="30" hidden="false" customHeight="true" outlineLevel="0" collapsed="false">
      <c r="A8" s="4" t="s">
        <v>10</v>
      </c>
      <c r="B8" s="4" t="s">
        <v>17</v>
      </c>
      <c r="C8" s="4" t="s">
        <v>18</v>
      </c>
      <c r="D8" s="4" t="s">
        <v>19</v>
      </c>
    </row>
    <row r="9" customFormat="false" ht="16.5" hidden="false" customHeight="true" outlineLevel="0" collapsed="false">
      <c r="A9" s="4" t="s">
        <v>10</v>
      </c>
      <c r="B9" s="4" t="s">
        <v>20</v>
      </c>
      <c r="C9" s="4" t="s">
        <v>21</v>
      </c>
      <c r="D9" s="4" t="s">
        <v>22</v>
      </c>
    </row>
    <row r="10" customFormat="false" ht="16.5" hidden="false" customHeight="true" outlineLevel="0" collapsed="false">
      <c r="A10" s="4" t="s">
        <v>10</v>
      </c>
      <c r="B10" s="4" t="s">
        <v>23</v>
      </c>
      <c r="C10" s="4" t="s">
        <v>24</v>
      </c>
      <c r="D10" s="4" t="s">
        <v>25</v>
      </c>
    </row>
    <row r="11" customFormat="false" ht="16.5" hidden="false" customHeight="true" outlineLevel="0" collapsed="false">
      <c r="A11" s="4" t="s">
        <v>10</v>
      </c>
      <c r="B11" s="4" t="s">
        <v>26</v>
      </c>
      <c r="C11" s="4" t="s">
        <v>27</v>
      </c>
      <c r="D11" s="4" t="s">
        <v>13</v>
      </c>
    </row>
    <row r="12" customFormat="false" ht="16.5" hidden="false" customHeight="true" outlineLevel="0" collapsed="false">
      <c r="A12" s="4" t="s">
        <v>28</v>
      </c>
      <c r="B12" s="4" t="s">
        <v>29</v>
      </c>
      <c r="C12" s="4" t="s">
        <v>30</v>
      </c>
      <c r="D12" s="4" t="s">
        <v>13</v>
      </c>
    </row>
    <row r="13" customFormat="false" ht="30" hidden="false" customHeight="true" outlineLevel="0" collapsed="false">
      <c r="A13" s="4" t="s">
        <v>28</v>
      </c>
      <c r="B13" s="4" t="s">
        <v>31</v>
      </c>
      <c r="C13" s="4" t="s">
        <v>32</v>
      </c>
      <c r="D13" s="4" t="s">
        <v>33</v>
      </c>
    </row>
    <row r="14" customFormat="false" ht="30" hidden="false" customHeight="true" outlineLevel="0" collapsed="false">
      <c r="A14" s="4" t="s">
        <v>28</v>
      </c>
      <c r="B14" s="4" t="s">
        <v>34</v>
      </c>
      <c r="C14" s="4" t="s">
        <v>35</v>
      </c>
      <c r="D14" s="4" t="s">
        <v>36</v>
      </c>
    </row>
    <row r="15" customFormat="false" ht="57" hidden="false" customHeight="true" outlineLevel="0" collapsed="false">
      <c r="A15" s="4" t="s">
        <v>37</v>
      </c>
      <c r="B15" s="4" t="s">
        <v>11</v>
      </c>
      <c r="C15" s="4" t="s">
        <v>38</v>
      </c>
      <c r="D15" s="4" t="s">
        <v>39</v>
      </c>
    </row>
    <row r="16" customFormat="false" ht="16.5" hidden="false" customHeight="true" outlineLevel="0" collapsed="false">
      <c r="A16" s="4" t="s">
        <v>37</v>
      </c>
      <c r="B16" s="4" t="s">
        <v>40</v>
      </c>
      <c r="C16" s="4" t="s">
        <v>41</v>
      </c>
      <c r="D16" s="4" t="s">
        <v>42</v>
      </c>
    </row>
    <row r="17" customFormat="false" ht="16.5" hidden="false" customHeight="true" outlineLevel="0" collapsed="false">
      <c r="A17" s="4" t="s">
        <v>37</v>
      </c>
      <c r="B17" s="4" t="s">
        <v>43</v>
      </c>
      <c r="C17" s="4" t="s">
        <v>44</v>
      </c>
      <c r="D17" s="4" t="s">
        <v>13</v>
      </c>
    </row>
    <row r="18" customFormat="false" ht="16.5" hidden="false" customHeight="true" outlineLevel="0" collapsed="false">
      <c r="A18" s="4" t="s">
        <v>45</v>
      </c>
      <c r="B18" s="4" t="s">
        <v>46</v>
      </c>
      <c r="C18" s="4" t="s">
        <v>47</v>
      </c>
      <c r="D18" s="4" t="s">
        <v>9</v>
      </c>
    </row>
    <row r="19" customFormat="false" ht="16.5" hidden="false" customHeight="true" outlineLevel="0" collapsed="false">
      <c r="A19" s="4" t="s">
        <v>48</v>
      </c>
      <c r="B19" s="4" t="s">
        <v>49</v>
      </c>
      <c r="C19" s="4" t="s">
        <v>50</v>
      </c>
      <c r="D19" s="4" t="s">
        <v>51</v>
      </c>
    </row>
    <row r="20" customFormat="false" ht="30" hidden="false" customHeight="true" outlineLevel="0" collapsed="false">
      <c r="A20" s="4" t="s">
        <v>48</v>
      </c>
      <c r="B20" s="4" t="s">
        <v>52</v>
      </c>
      <c r="C20" s="4" t="s">
        <v>53</v>
      </c>
      <c r="D20" s="4" t="s">
        <v>54</v>
      </c>
    </row>
    <row r="21" customFormat="false" ht="16.5" hidden="false" customHeight="true" outlineLevel="0" collapsed="false">
      <c r="A21" s="4" t="s">
        <v>48</v>
      </c>
      <c r="B21" s="4" t="s">
        <v>55</v>
      </c>
      <c r="C21" s="4" t="s">
        <v>56</v>
      </c>
      <c r="D21" s="4" t="s">
        <v>57</v>
      </c>
    </row>
    <row r="22" customFormat="false" ht="30" hidden="false" customHeight="true" outlineLevel="0" collapsed="false">
      <c r="A22" s="4" t="s">
        <v>58</v>
      </c>
      <c r="B22" s="4" t="s">
        <v>28</v>
      </c>
      <c r="C22" s="4" t="s">
        <v>59</v>
      </c>
      <c r="D22" s="4" t="s">
        <v>33</v>
      </c>
    </row>
    <row r="23" customFormat="false" ht="30" hidden="false" customHeight="true" outlineLevel="0" collapsed="false">
      <c r="A23" s="4" t="s">
        <v>58</v>
      </c>
      <c r="B23" s="4" t="s">
        <v>10</v>
      </c>
      <c r="C23" s="4" t="s">
        <v>60</v>
      </c>
      <c r="D23" s="4" t="s">
        <v>25</v>
      </c>
    </row>
    <row r="24" customFormat="false" ht="30" hidden="false" customHeight="true" outlineLevel="0" collapsed="false">
      <c r="A24" s="4" t="s">
        <v>61</v>
      </c>
      <c r="B24" s="4" t="s">
        <v>62</v>
      </c>
      <c r="C24" s="4" t="s">
        <v>63</v>
      </c>
      <c r="D24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48"/>
    <col collapsed="false" customWidth="true" hidden="false" outlineLevel="0" max="5" min="5" style="0" width="44"/>
    <col collapsed="false" customWidth="true" hidden="false" outlineLevel="0" max="6" min="6" style="0" width="2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</row>
    <row r="5" customFormat="false" ht="57" hidden="false" customHeight="true" outlineLevel="0" collapsed="false">
      <c r="A5" s="5" t="n">
        <v>1</v>
      </c>
      <c r="B5" s="4" t="s">
        <v>74</v>
      </c>
      <c r="C5" s="4" t="s">
        <v>75</v>
      </c>
      <c r="D5" s="4" t="s">
        <v>76</v>
      </c>
      <c r="E5" s="4" t="s">
        <v>77</v>
      </c>
      <c r="F5" s="4" t="s">
        <v>78</v>
      </c>
      <c r="G5" s="4" t="s">
        <v>79</v>
      </c>
    </row>
    <row r="6" customFormat="false" ht="70.5" hidden="false" customHeight="true" outlineLevel="0" collapsed="false">
      <c r="A6" s="5" t="n">
        <v>2</v>
      </c>
      <c r="B6" s="4" t="s">
        <v>80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85</v>
      </c>
    </row>
    <row r="7" customFormat="false" ht="43.5" hidden="false" customHeight="true" outlineLevel="0" collapsed="false">
      <c r="A7" s="5" t="n">
        <v>3</v>
      </c>
      <c r="B7" s="4" t="s">
        <v>86</v>
      </c>
      <c r="C7" s="4" t="s">
        <v>87</v>
      </c>
      <c r="D7" s="4" t="s">
        <v>88</v>
      </c>
      <c r="E7" s="4" t="s">
        <v>89</v>
      </c>
      <c r="F7" s="4" t="s">
        <v>90</v>
      </c>
      <c r="G7" s="4" t="s">
        <v>91</v>
      </c>
    </row>
    <row r="8" customFormat="false" ht="43.5" hidden="false" customHeight="true" outlineLevel="0" collapsed="false">
      <c r="A8" s="5" t="n">
        <v>4</v>
      </c>
      <c r="B8" s="4" t="s">
        <v>92</v>
      </c>
      <c r="C8" s="4" t="s">
        <v>93</v>
      </c>
      <c r="D8" s="4" t="s">
        <v>94</v>
      </c>
      <c r="E8" s="4" t="s">
        <v>95</v>
      </c>
      <c r="F8" s="4" t="s">
        <v>96</v>
      </c>
      <c r="G8" s="4" t="s">
        <v>97</v>
      </c>
    </row>
    <row r="9" customFormat="false" ht="57" hidden="false" customHeight="true" outlineLevel="0" collapsed="false">
      <c r="A9" s="5" t="n">
        <v>5</v>
      </c>
      <c r="B9" s="4" t="s">
        <v>98</v>
      </c>
      <c r="C9" s="4" t="s">
        <v>99</v>
      </c>
      <c r="D9" s="4" t="s">
        <v>100</v>
      </c>
      <c r="E9" s="4" t="s">
        <v>101</v>
      </c>
      <c r="F9" s="4" t="s">
        <v>102</v>
      </c>
      <c r="G9" s="4" t="s">
        <v>103</v>
      </c>
    </row>
    <row r="10" customFormat="false" ht="57" hidden="false" customHeight="true" outlineLevel="0" collapsed="false">
      <c r="A10" s="5" t="n">
        <v>6</v>
      </c>
      <c r="B10" s="4" t="s">
        <v>104</v>
      </c>
      <c r="C10" s="4" t="s">
        <v>105</v>
      </c>
      <c r="D10" s="4" t="s">
        <v>106</v>
      </c>
      <c r="E10" s="4" t="s">
        <v>107</v>
      </c>
      <c r="F10" s="4" t="s">
        <v>108</v>
      </c>
      <c r="G10" s="4" t="s">
        <v>109</v>
      </c>
    </row>
    <row r="11" customFormat="false" ht="57" hidden="false" customHeight="true" outlineLevel="0" collapsed="false">
      <c r="A11" s="5" t="n">
        <v>7</v>
      </c>
      <c r="B11" s="4" t="s">
        <v>110</v>
      </c>
      <c r="C11" s="4" t="s">
        <v>111</v>
      </c>
      <c r="D11" s="4" t="s">
        <v>112</v>
      </c>
      <c r="E11" s="4" t="s">
        <v>113</v>
      </c>
      <c r="F11" s="4" t="s">
        <v>114</v>
      </c>
      <c r="G11" s="4" t="s">
        <v>115</v>
      </c>
    </row>
    <row r="13" customFormat="false" ht="15" hidden="false" customHeight="false" outlineLevel="0" collapsed="false">
      <c r="A13" s="6" t="s">
        <v>116</v>
      </c>
      <c r="B13" s="6"/>
      <c r="C13" s="6"/>
      <c r="D13" s="6"/>
      <c r="E13" s="6"/>
      <c r="F13" s="6"/>
      <c r="G13" s="6"/>
    </row>
    <row r="14" customFormat="false" ht="54.75" hidden="false" customHeight="true" outlineLevel="0" collapsed="false">
      <c r="B14" s="7" t="s">
        <v>117</v>
      </c>
      <c r="C14" s="7"/>
      <c r="D14" s="7"/>
      <c r="E14" s="7"/>
      <c r="F14" s="7"/>
      <c r="G14" s="7"/>
    </row>
    <row r="16" customFormat="false" ht="15" hidden="false" customHeight="false" outlineLevel="0" collapsed="false">
      <c r="A16" s="6" t="s">
        <v>118</v>
      </c>
      <c r="B16" s="6"/>
      <c r="C16" s="6"/>
      <c r="D16" s="6"/>
      <c r="E16" s="6"/>
      <c r="F16" s="6"/>
      <c r="G16" s="6"/>
    </row>
    <row r="17" customFormat="false" ht="18" hidden="false" customHeight="true" outlineLevel="0" collapsed="false">
      <c r="B17" s="7" t="s">
        <v>119</v>
      </c>
      <c r="C17" s="7"/>
      <c r="D17" s="7"/>
      <c r="E17" s="7"/>
      <c r="F17" s="7"/>
      <c r="G17" s="7"/>
    </row>
    <row r="18" customFormat="false" ht="18" hidden="false" customHeight="true" outlineLevel="0" collapsed="false">
      <c r="B18" s="7" t="s">
        <v>120</v>
      </c>
      <c r="C18" s="7"/>
      <c r="D18" s="7"/>
      <c r="E18" s="7"/>
      <c r="F18" s="7"/>
      <c r="G18" s="7"/>
    </row>
    <row r="19" customFormat="false" ht="18" hidden="false" customHeight="true" outlineLevel="0" collapsed="false">
      <c r="B19" s="7" t="s">
        <v>121</v>
      </c>
      <c r="C19" s="7"/>
      <c r="D19" s="7"/>
      <c r="E19" s="7"/>
      <c r="F19" s="7"/>
      <c r="G19" s="7"/>
    </row>
    <row r="20" customFormat="false" ht="18" hidden="false" customHeight="true" outlineLevel="0" collapsed="false">
      <c r="B20" s="7" t="s">
        <v>122</v>
      </c>
      <c r="C20" s="7"/>
      <c r="D20" s="7"/>
      <c r="E20" s="7"/>
      <c r="F20" s="7"/>
      <c r="G20" s="7"/>
    </row>
  </sheetData>
  <mergeCells count="5">
    <mergeCell ref="B14:G14"/>
    <mergeCell ref="B17:G17"/>
    <mergeCell ref="B18:G18"/>
    <mergeCell ref="B19:G19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9" min="7" style="0" width="14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42" hidden="false" customHeight="true" outlineLevel="0" collapsed="false">
      <c r="A4" s="3" t="s">
        <v>125</v>
      </c>
      <c r="B4" s="3" t="s">
        <v>126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131</v>
      </c>
      <c r="H4" s="3" t="s">
        <v>132</v>
      </c>
      <c r="I4" s="3" t="s">
        <v>133</v>
      </c>
      <c r="J4" s="3" t="s">
        <v>134</v>
      </c>
    </row>
    <row r="5" customFormat="false" ht="27.75" hidden="false" customHeight="true" outlineLevel="0" collapsed="false">
      <c r="A5" s="4" t="s">
        <v>135</v>
      </c>
      <c r="B5" s="5" t="s">
        <v>136</v>
      </c>
      <c r="C5" s="8" t="n">
        <v>15.4634696</v>
      </c>
      <c r="D5" s="9" t="n">
        <v>109</v>
      </c>
      <c r="E5" s="9" t="n">
        <v>0</v>
      </c>
      <c r="F5" s="9" t="n">
        <v>508</v>
      </c>
      <c r="G5" s="8" t="n">
        <v>29.996968</v>
      </c>
      <c r="H5" s="10" t="n">
        <v>16.94</v>
      </c>
      <c r="I5" s="11" t="n">
        <f aca="false">F5/G5</f>
        <v>16.9350449018714</v>
      </c>
      <c r="J5" s="8" t="n">
        <v>46.8935805</v>
      </c>
    </row>
    <row r="6" customFormat="false" ht="27.75" hidden="false" customHeight="true" outlineLevel="0" collapsed="false">
      <c r="A6" s="4" t="s">
        <v>135</v>
      </c>
      <c r="B6" s="5" t="s">
        <v>137</v>
      </c>
      <c r="C6" s="8" t="n">
        <v>0.0187864</v>
      </c>
      <c r="D6" s="9" t="n">
        <v>109</v>
      </c>
      <c r="E6" s="9" t="n">
        <v>104</v>
      </c>
      <c r="F6" s="9" t="n">
        <v>521</v>
      </c>
      <c r="G6" s="8" t="n">
        <v>26.825821</v>
      </c>
      <c r="H6" s="10" t="n">
        <v>19.42</v>
      </c>
      <c r="I6" s="11" t="n">
        <f aca="false">F6/G6</f>
        <v>19.421586388726</v>
      </c>
      <c r="J6" s="8" t="n">
        <v>26.9823126</v>
      </c>
    </row>
    <row r="7" customFormat="false" ht="27.75" hidden="false" customHeight="true" outlineLevel="0" collapsed="false">
      <c r="A7" s="4" t="s">
        <v>135</v>
      </c>
      <c r="B7" s="5" t="s">
        <v>138</v>
      </c>
      <c r="C7" s="8" t="n">
        <v>0.0313595</v>
      </c>
      <c r="D7" s="9" t="n">
        <v>109</v>
      </c>
      <c r="E7" s="9" t="n">
        <v>104</v>
      </c>
      <c r="F7" s="9" t="n">
        <v>489</v>
      </c>
      <c r="G7" s="8" t="n">
        <v>27.014688</v>
      </c>
      <c r="H7" s="10" t="n">
        <v>18.1</v>
      </c>
      <c r="I7" s="11" t="n">
        <f aca="false">F7/G7</f>
        <v>18.1012640234823</v>
      </c>
      <c r="J7" s="8" t="n">
        <v>27.1794359</v>
      </c>
    </row>
    <row r="8" customFormat="false" ht="27.75" hidden="false" customHeight="true" outlineLevel="0" collapsed="false">
      <c r="A8" s="4" t="s">
        <v>139</v>
      </c>
      <c r="B8" s="5" t="s">
        <v>136</v>
      </c>
      <c r="C8" s="8" t="n">
        <v>13.9834341</v>
      </c>
      <c r="D8" s="9" t="n">
        <v>102</v>
      </c>
      <c r="E8" s="9" t="n">
        <v>0</v>
      </c>
      <c r="F8" s="9" t="n">
        <v>84</v>
      </c>
      <c r="G8" s="8" t="n">
        <v>4.196442</v>
      </c>
      <c r="H8" s="10" t="n">
        <v>20.02</v>
      </c>
      <c r="I8" s="11" t="n">
        <f aca="false">F8/G8</f>
        <v>20.0169572223326</v>
      </c>
      <c r="J8" s="8" t="n">
        <v>19.3935762</v>
      </c>
    </row>
    <row r="9" customFormat="false" ht="27.75" hidden="false" customHeight="true" outlineLevel="0" collapsed="false">
      <c r="A9" s="4" t="s">
        <v>139</v>
      </c>
      <c r="B9" s="5" t="s">
        <v>137</v>
      </c>
      <c r="C9" s="8" t="n">
        <v>0.011259</v>
      </c>
      <c r="D9" s="9" t="n">
        <v>102</v>
      </c>
      <c r="E9" s="9" t="n">
        <v>97</v>
      </c>
      <c r="F9" s="9" t="n">
        <v>102</v>
      </c>
      <c r="G9" s="8" t="n">
        <v>4.731158</v>
      </c>
      <c r="H9" s="10" t="n">
        <v>21.56</v>
      </c>
      <c r="I9" s="11" t="n">
        <f aca="false">F9/G9</f>
        <v>21.5592038989186</v>
      </c>
      <c r="J9" s="8" t="n">
        <v>4.8751631</v>
      </c>
    </row>
    <row r="10" customFormat="false" ht="27.75" hidden="false" customHeight="true" outlineLevel="0" collapsed="false">
      <c r="A10" s="4" t="s">
        <v>139</v>
      </c>
      <c r="B10" s="5" t="s">
        <v>138</v>
      </c>
      <c r="C10" s="8" t="n">
        <v>0.008227</v>
      </c>
      <c r="D10" s="9" t="n">
        <v>102</v>
      </c>
      <c r="E10" s="9" t="n">
        <v>97</v>
      </c>
      <c r="F10" s="9" t="n">
        <v>97</v>
      </c>
      <c r="G10" s="8" t="n">
        <v>7.459571</v>
      </c>
      <c r="H10" s="10" t="n">
        <v>13</v>
      </c>
      <c r="I10" s="11" t="n">
        <f aca="false">F10/G10</f>
        <v>13.0034287494549</v>
      </c>
      <c r="J10" s="8" t="n">
        <v>7.6035057</v>
      </c>
    </row>
    <row r="12" customFormat="false" ht="30" hidden="false" customHeight="true" outlineLevel="0" collapsed="false">
      <c r="A12" s="12" t="s">
        <v>140</v>
      </c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30" hidden="false" customHeight="true" outlineLevel="0" collapsed="false">
      <c r="A13" s="12" t="s">
        <v>141</v>
      </c>
      <c r="B13" s="12"/>
      <c r="C13" s="12"/>
      <c r="D13" s="12"/>
      <c r="E13" s="12"/>
      <c r="F13" s="12"/>
      <c r="G13" s="12"/>
      <c r="H13" s="12"/>
      <c r="I13" s="12"/>
      <c r="J13" s="12"/>
    </row>
    <row r="14" customFormat="false" ht="30" hidden="false" customHeight="true" outlineLevel="0" collapsed="false">
      <c r="A14" s="12" t="s">
        <v>142</v>
      </c>
      <c r="B14" s="12"/>
      <c r="C14" s="12"/>
      <c r="D14" s="12"/>
      <c r="E14" s="12"/>
      <c r="F14" s="12"/>
      <c r="G14" s="12"/>
      <c r="H14" s="12"/>
      <c r="I14" s="12"/>
      <c r="J14" s="12"/>
    </row>
  </sheetData>
  <mergeCells count="3">
    <mergeCell ref="A12:J12"/>
    <mergeCell ref="A13:J13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15" hidden="false" customHeight="false" outlineLevel="0" collapsed="false">
      <c r="A4" s="3" t="s">
        <v>145</v>
      </c>
      <c r="B4" s="3" t="s">
        <v>146</v>
      </c>
      <c r="C4" s="3" t="s">
        <v>147</v>
      </c>
      <c r="D4" s="3" t="s">
        <v>5</v>
      </c>
    </row>
    <row r="5" customFormat="false" ht="15" hidden="false" customHeight="false" outlineLevel="0" collapsed="false">
      <c r="A5" s="13" t="s">
        <v>148</v>
      </c>
      <c r="B5" s="13"/>
      <c r="C5" s="13"/>
      <c r="D5" s="13"/>
    </row>
    <row r="6" customFormat="false" ht="16.5" hidden="false" customHeight="true" outlineLevel="0" collapsed="false">
      <c r="A6" s="4" t="s">
        <v>149</v>
      </c>
      <c r="B6" s="14" t="n">
        <v>5200</v>
      </c>
      <c r="C6" s="5" t="s">
        <v>150</v>
      </c>
      <c r="D6" s="4" t="s">
        <v>33</v>
      </c>
    </row>
    <row r="7" customFormat="false" ht="16.5" hidden="false" customHeight="true" outlineLevel="0" collapsed="false">
      <c r="A7" s="4" t="s">
        <v>151</v>
      </c>
      <c r="B7" s="15" t="n">
        <v>8</v>
      </c>
      <c r="C7" s="5" t="s">
        <v>152</v>
      </c>
      <c r="D7" s="4" t="s">
        <v>153</v>
      </c>
    </row>
    <row r="8" customFormat="false" ht="16.5" hidden="false" customHeight="true" outlineLevel="0" collapsed="false">
      <c r="A8" s="4" t="s">
        <v>154</v>
      </c>
      <c r="B8" s="15" t="n">
        <v>1</v>
      </c>
      <c r="C8" s="5" t="s">
        <v>155</v>
      </c>
      <c r="D8" s="4" t="s">
        <v>156</v>
      </c>
    </row>
    <row r="9" customFormat="false" ht="16.5" hidden="false" customHeight="true" outlineLevel="0" collapsed="false">
      <c r="A9" s="4" t="s">
        <v>157</v>
      </c>
      <c r="B9" s="15" t="n">
        <v>2</v>
      </c>
      <c r="C9" s="5" t="s">
        <v>155</v>
      </c>
      <c r="D9" s="4" t="s">
        <v>22</v>
      </c>
    </row>
    <row r="10" customFormat="false" ht="16.5" hidden="false" customHeight="true" outlineLevel="0" collapsed="false">
      <c r="A10" s="4" t="s">
        <v>158</v>
      </c>
      <c r="B10" s="16" t="n">
        <f aca="false">B6*B7*B8/1000</f>
        <v>41.6</v>
      </c>
      <c r="C10" s="5" t="s">
        <v>159</v>
      </c>
      <c r="D10" s="4" t="s">
        <v>160</v>
      </c>
    </row>
    <row r="11" customFormat="false" ht="16.5" hidden="false" customHeight="true" outlineLevel="0" collapsed="false">
      <c r="A11" s="4" t="s">
        <v>161</v>
      </c>
      <c r="B11" s="16" t="n">
        <f aca="false">B6*B7*B9/1000</f>
        <v>83.2</v>
      </c>
      <c r="C11" s="5" t="s">
        <v>159</v>
      </c>
      <c r="D11" s="4" t="s">
        <v>162</v>
      </c>
    </row>
    <row r="12" customFormat="false" ht="16.5" hidden="false" customHeight="true" outlineLevel="0" collapsed="false">
      <c r="A12" s="4" t="s">
        <v>163</v>
      </c>
      <c r="B12" s="17" t="n">
        <f aca="false">1-B10/B11</f>
        <v>0.5</v>
      </c>
      <c r="C12" s="5" t="s">
        <v>164</v>
      </c>
      <c r="D12" s="4" t="s">
        <v>165</v>
      </c>
    </row>
    <row r="13" customFormat="false" ht="15" hidden="false" customHeight="false" outlineLevel="0" collapsed="false">
      <c r="A13" s="13" t="s">
        <v>166</v>
      </c>
      <c r="B13" s="13"/>
      <c r="C13" s="13"/>
      <c r="D13" s="13"/>
    </row>
    <row r="14" customFormat="false" ht="16.5" hidden="false" customHeight="true" outlineLevel="0" collapsed="false">
      <c r="A14" s="4" t="s">
        <v>167</v>
      </c>
      <c r="B14" s="18" t="n">
        <f aca="false">AVERAGE(Medições!F5:F7)</f>
        <v>506</v>
      </c>
      <c r="C14" s="5" t="s">
        <v>168</v>
      </c>
      <c r="D14" s="4" t="s">
        <v>169</v>
      </c>
    </row>
    <row r="15" customFormat="false" ht="30" hidden="false" customHeight="true" outlineLevel="0" collapsed="false">
      <c r="A15" s="4" t="s">
        <v>170</v>
      </c>
      <c r="B15" s="18" t="n">
        <f aca="false">AVERAGE(Medições!F8:F10)</f>
        <v>94.3333333333333</v>
      </c>
      <c r="C15" s="5" t="s">
        <v>168</v>
      </c>
      <c r="D15" s="4" t="s">
        <v>171</v>
      </c>
    </row>
    <row r="16" customFormat="false" ht="16.5" hidden="false" customHeight="true" outlineLevel="0" collapsed="false">
      <c r="A16" s="4" t="s">
        <v>172</v>
      </c>
      <c r="B16" s="17" t="n">
        <f aca="false">1-B15/B14</f>
        <v>0.813570487483531</v>
      </c>
      <c r="C16" s="5" t="s">
        <v>164</v>
      </c>
      <c r="D16" s="4" t="s">
        <v>173</v>
      </c>
    </row>
    <row r="17" customFormat="false" ht="16.5" hidden="false" customHeight="true" outlineLevel="0" collapsed="false">
      <c r="A17" s="4" t="s">
        <v>174</v>
      </c>
      <c r="B17" s="19" t="n">
        <f aca="false">AVERAGE(Medições!H5:H7)</f>
        <v>18.1533333333333</v>
      </c>
      <c r="C17" s="5" t="s">
        <v>175</v>
      </c>
      <c r="D17" s="4" t="s">
        <v>176</v>
      </c>
    </row>
    <row r="18" customFormat="false" ht="16.5" hidden="false" customHeight="true" outlineLevel="0" collapsed="false">
      <c r="A18" s="4" t="s">
        <v>177</v>
      </c>
      <c r="B18" s="19" t="n">
        <f aca="false">AVERAGE(Medições!H8:H10)</f>
        <v>18.1933333333333</v>
      </c>
      <c r="C18" s="5" t="s">
        <v>175</v>
      </c>
      <c r="D18" s="4" t="s">
        <v>178</v>
      </c>
    </row>
    <row r="19" customFormat="false" ht="16.5" hidden="false" customHeight="true" outlineLevel="0" collapsed="false">
      <c r="A19" s="4" t="s">
        <v>179</v>
      </c>
      <c r="B19" s="19" t="n">
        <f aca="false">MIN(Medições!H5:H10)</f>
        <v>13</v>
      </c>
      <c r="C19" s="5" t="s">
        <v>175</v>
      </c>
      <c r="D19" s="4" t="s">
        <v>180</v>
      </c>
    </row>
    <row r="20" customFormat="false" ht="16.5" hidden="false" customHeight="true" outlineLevel="0" collapsed="false">
      <c r="A20" s="4" t="s">
        <v>181</v>
      </c>
      <c r="B20" s="19" t="n">
        <f aca="false">MAX(Medições!H5:H10)</f>
        <v>21.56</v>
      </c>
      <c r="C20" s="5" t="s">
        <v>175</v>
      </c>
      <c r="D20" s="4" t="s">
        <v>182</v>
      </c>
    </row>
    <row r="21" customFormat="false" ht="30" hidden="false" customHeight="true" outlineLevel="0" collapsed="false">
      <c r="A21" s="4" t="s">
        <v>183</v>
      </c>
      <c r="B21" s="19" t="n">
        <f aca="false">AVERAGE(Medições!J6:J7)</f>
        <v>27.08087425</v>
      </c>
      <c r="C21" s="5" t="s">
        <v>184</v>
      </c>
      <c r="D21" s="4" t="s">
        <v>185</v>
      </c>
    </row>
    <row r="22" customFormat="false" ht="30" hidden="false" customHeight="true" outlineLevel="0" collapsed="false">
      <c r="A22" s="4" t="s">
        <v>186</v>
      </c>
      <c r="B22" s="19" t="n">
        <f aca="false">AVERAGE(Medições!J9:J10)</f>
        <v>6.2393344</v>
      </c>
      <c r="C22" s="5" t="s">
        <v>184</v>
      </c>
      <c r="D22" s="4" t="s">
        <v>187</v>
      </c>
    </row>
    <row r="23" customFormat="false" ht="30" hidden="false" customHeight="true" outlineLevel="0" collapsed="false">
      <c r="A23" s="4" t="s">
        <v>188</v>
      </c>
      <c r="B23" s="20" t="n">
        <f aca="false">B21/B22</f>
        <v>4.34034666422111</v>
      </c>
      <c r="C23" s="5" t="s">
        <v>189</v>
      </c>
      <c r="D23" s="4" t="s">
        <v>190</v>
      </c>
    </row>
    <row r="24" customFormat="false" ht="16.5" hidden="false" customHeight="true" outlineLevel="0" collapsed="false">
      <c r="A24" s="4" t="s">
        <v>191</v>
      </c>
      <c r="B24" s="19" t="n">
        <f aca="false">Medições!J5</f>
        <v>46.8935805</v>
      </c>
      <c r="C24" s="5" t="s">
        <v>184</v>
      </c>
      <c r="D24" s="4" t="s">
        <v>192</v>
      </c>
    </row>
    <row r="25" customFormat="false" ht="16.5" hidden="false" customHeight="true" outlineLevel="0" collapsed="false">
      <c r="A25" s="4" t="s">
        <v>193</v>
      </c>
      <c r="B25" s="19" t="n">
        <f aca="false">Medições!J8</f>
        <v>19.3935762</v>
      </c>
      <c r="C25" s="5" t="s">
        <v>184</v>
      </c>
      <c r="D25" s="4" t="s">
        <v>192</v>
      </c>
    </row>
    <row r="26" customFormat="false" ht="30" hidden="false" customHeight="true" outlineLevel="0" collapsed="false">
      <c r="A26" s="4" t="s">
        <v>194</v>
      </c>
      <c r="B26" s="15" t="n">
        <v>8</v>
      </c>
      <c r="C26" s="5" t="s">
        <v>195</v>
      </c>
      <c r="D26" s="4" t="s">
        <v>196</v>
      </c>
    </row>
    <row r="27" customFormat="false" ht="30" hidden="false" customHeight="true" outlineLevel="0" collapsed="false">
      <c r="A27" s="4" t="s">
        <v>197</v>
      </c>
      <c r="B27" s="21" t="n">
        <f aca="false">B24+(B26-1)*B21</f>
        <v>236.45970025</v>
      </c>
      <c r="C27" s="5" t="s">
        <v>184</v>
      </c>
      <c r="D27" s="4" t="s">
        <v>198</v>
      </c>
    </row>
    <row r="28" customFormat="false" ht="16.5" hidden="false" customHeight="true" outlineLevel="0" collapsed="false">
      <c r="A28" s="4" t="s">
        <v>199</v>
      </c>
      <c r="B28" s="16" t="n">
        <f aca="false">B27/60</f>
        <v>3.94099500416667</v>
      </c>
      <c r="C28" s="5" t="s">
        <v>200</v>
      </c>
      <c r="D28" s="4"/>
    </row>
    <row r="29" customFormat="false" ht="16.5" hidden="false" customHeight="true" outlineLevel="0" collapsed="false">
      <c r="A29" s="4" t="s">
        <v>201</v>
      </c>
      <c r="B29" s="21" t="n">
        <f aca="false">B25+(B26-1)*B22</f>
        <v>63.068917</v>
      </c>
      <c r="C29" s="5" t="s">
        <v>184</v>
      </c>
      <c r="D29" s="4" t="s">
        <v>202</v>
      </c>
    </row>
    <row r="30" customFormat="false" ht="16.5" hidden="false" customHeight="true" outlineLevel="0" collapsed="false">
      <c r="A30" s="4" t="s">
        <v>203</v>
      </c>
      <c r="B30" s="22" t="n">
        <f aca="false">B25+(B26-1)*MIN(Medições!J9:J10)</f>
        <v>53.5197179</v>
      </c>
      <c r="C30" s="5" t="s">
        <v>184</v>
      </c>
      <c r="D30" s="4" t="s">
        <v>204</v>
      </c>
    </row>
    <row r="31" customFormat="false" ht="16.5" hidden="false" customHeight="true" outlineLevel="0" collapsed="false">
      <c r="A31" s="4" t="s">
        <v>205</v>
      </c>
      <c r="B31" s="22" t="n">
        <f aca="false">B25+(B26-1)*MAX(Medições!J9:J10)</f>
        <v>72.6181161</v>
      </c>
      <c r="C31" s="5" t="s">
        <v>184</v>
      </c>
      <c r="D31" s="4" t="s">
        <v>204</v>
      </c>
    </row>
    <row r="32" customFormat="false" ht="15" hidden="false" customHeight="false" outlineLevel="0" collapsed="false">
      <c r="A32" s="13" t="s">
        <v>206</v>
      </c>
      <c r="B32" s="13"/>
      <c r="C32" s="13"/>
      <c r="D32" s="13"/>
    </row>
    <row r="33" customFormat="false" ht="30" hidden="false" customHeight="true" outlineLevel="0" collapsed="false">
      <c r="A33" s="4" t="s">
        <v>207</v>
      </c>
      <c r="B33" s="23" t="n">
        <v>2.9</v>
      </c>
      <c r="C33" s="5" t="s">
        <v>208</v>
      </c>
      <c r="D33" s="4" t="s">
        <v>209</v>
      </c>
    </row>
    <row r="34" customFormat="false" ht="16.5" hidden="false" customHeight="true" outlineLevel="0" collapsed="false">
      <c r="A34" s="4" t="s">
        <v>210</v>
      </c>
      <c r="B34" s="23" t="n">
        <v>17.5</v>
      </c>
      <c r="C34" s="5" t="s">
        <v>208</v>
      </c>
      <c r="D34" s="4" t="s">
        <v>211</v>
      </c>
    </row>
    <row r="35" customFormat="false" ht="16.5" hidden="false" customHeight="true" outlineLevel="0" collapsed="false">
      <c r="A35" s="4" t="s">
        <v>212</v>
      </c>
      <c r="B35" s="16" t="n">
        <f aca="false">B10/B33</f>
        <v>14.3448275862069</v>
      </c>
      <c r="C35" s="5" t="s">
        <v>175</v>
      </c>
      <c r="D35" s="4" t="s">
        <v>213</v>
      </c>
    </row>
    <row r="36" customFormat="false" ht="16.5" hidden="false" customHeight="true" outlineLevel="0" collapsed="false">
      <c r="A36" s="4" t="s">
        <v>214</v>
      </c>
      <c r="B36" s="24" t="n">
        <f aca="false">B18/B35</f>
        <v>1.26828525641026</v>
      </c>
      <c r="C36" s="5" t="s">
        <v>189</v>
      </c>
      <c r="D36" s="4" t="s">
        <v>215</v>
      </c>
    </row>
    <row r="37" customFormat="false" ht="30" hidden="false" customHeight="true" outlineLevel="0" collapsed="false">
      <c r="A37" s="4" t="s">
        <v>216</v>
      </c>
      <c r="B37" s="25" t="str">
        <f aca="false">IF(B18&gt;B35,"Sim","Não")</f>
        <v>Sim</v>
      </c>
      <c r="C37" s="5" t="s">
        <v>217</v>
      </c>
      <c r="D37" s="4" t="s">
        <v>218</v>
      </c>
    </row>
    <row r="38" customFormat="false" ht="15" hidden="false" customHeight="false" outlineLevel="0" collapsed="false">
      <c r="A38" s="13" t="s">
        <v>219</v>
      </c>
      <c r="B38" s="13"/>
      <c r="C38" s="13"/>
      <c r="D38" s="13"/>
    </row>
    <row r="39" customFormat="false" ht="16.5" hidden="false" customHeight="true" outlineLevel="0" collapsed="false">
      <c r="A39" s="4" t="s">
        <v>220</v>
      </c>
      <c r="B39" s="23" t="n">
        <v>16</v>
      </c>
      <c r="C39" s="5" t="s">
        <v>208</v>
      </c>
      <c r="D39" s="4" t="s">
        <v>9</v>
      </c>
    </row>
    <row r="40" customFormat="false" ht="16.5" hidden="false" customHeight="true" outlineLevel="0" collapsed="false">
      <c r="A40" s="4" t="s">
        <v>221</v>
      </c>
      <c r="B40" s="23" t="n">
        <v>15.7</v>
      </c>
      <c r="C40" s="5" t="s">
        <v>208</v>
      </c>
      <c r="D40" s="4" t="s">
        <v>9</v>
      </c>
    </row>
    <row r="41" customFormat="false" ht="16.5" hidden="false" customHeight="true" outlineLevel="0" collapsed="false">
      <c r="A41" s="4" t="s">
        <v>222</v>
      </c>
      <c r="B41" s="23" t="n">
        <v>14.2</v>
      </c>
      <c r="C41" s="5" t="s">
        <v>208</v>
      </c>
      <c r="D41" s="4" t="s">
        <v>33</v>
      </c>
    </row>
    <row r="42" customFormat="false" ht="16.5" hidden="false" customHeight="true" outlineLevel="0" collapsed="false">
      <c r="A42" s="4" t="s">
        <v>223</v>
      </c>
      <c r="B42" s="16" t="n">
        <f aca="false">B40-B41</f>
        <v>1.5</v>
      </c>
      <c r="C42" s="5" t="s">
        <v>208</v>
      </c>
      <c r="D42" s="4" t="s">
        <v>224</v>
      </c>
    </row>
    <row r="43" customFormat="false" ht="30" hidden="false" customHeight="true" outlineLevel="0" collapsed="false">
      <c r="A43" s="4" t="s">
        <v>225</v>
      </c>
      <c r="B43" s="26" t="n">
        <v>6</v>
      </c>
      <c r="C43" s="5" t="s">
        <v>208</v>
      </c>
      <c r="D43" s="4" t="s">
        <v>226</v>
      </c>
    </row>
    <row r="44" customFormat="false" ht="16.5" hidden="false" customHeight="true" outlineLevel="0" collapsed="false">
      <c r="A44" s="4" t="s">
        <v>227</v>
      </c>
      <c r="B44" s="23" t="n">
        <v>4.2</v>
      </c>
      <c r="C44" s="5" t="s">
        <v>208</v>
      </c>
      <c r="D44" s="4" t="s">
        <v>228</v>
      </c>
    </row>
    <row r="45" customFormat="false" ht="16.5" hidden="false" customHeight="true" outlineLevel="0" collapsed="false">
      <c r="A45" s="4" t="s">
        <v>229</v>
      </c>
      <c r="B45" s="25" t="str">
        <f aca="false">IF(B44&lt;B43,"Sim","Não")</f>
        <v>Sim</v>
      </c>
      <c r="C45" s="5" t="s">
        <v>217</v>
      </c>
      <c r="D45" s="4" t="s">
        <v>230</v>
      </c>
    </row>
    <row r="46" customFormat="false" ht="16.5" hidden="false" customHeight="true" outlineLevel="0" collapsed="false">
      <c r="A46" s="4" t="s">
        <v>231</v>
      </c>
      <c r="B46" s="23" t="n">
        <v>24.9</v>
      </c>
      <c r="C46" s="5" t="s">
        <v>208</v>
      </c>
      <c r="D46" s="4" t="s">
        <v>232</v>
      </c>
    </row>
    <row r="47" customFormat="false" ht="16.5" hidden="false" customHeight="true" outlineLevel="0" collapsed="false">
      <c r="A47" s="4" t="s">
        <v>233</v>
      </c>
      <c r="B47" s="25" t="str">
        <f aca="false">IF(B46&gt;B39,"Sim","Não")</f>
        <v>Sim</v>
      </c>
      <c r="C47" s="5" t="s">
        <v>217</v>
      </c>
      <c r="D47" s="4" t="s">
        <v>234</v>
      </c>
    </row>
    <row r="48" customFormat="false" ht="16.5" hidden="false" customHeight="true" outlineLevel="0" collapsed="false">
      <c r="A48" s="4" t="s">
        <v>235</v>
      </c>
      <c r="B48" s="25" t="str">
        <f aca="false">IF(B34&lt;=B40,"Sim","Não")</f>
        <v>Não</v>
      </c>
      <c r="C48" s="5" t="s">
        <v>217</v>
      </c>
      <c r="D48" s="4" t="s">
        <v>236</v>
      </c>
    </row>
    <row r="49" customFormat="false" ht="15" hidden="false" customHeight="false" outlineLevel="0" collapsed="false">
      <c r="A49" s="13" t="s">
        <v>237</v>
      </c>
      <c r="B49" s="13"/>
      <c r="C49" s="13"/>
      <c r="D49" s="13"/>
    </row>
    <row r="50" customFormat="false" ht="16.5" hidden="false" customHeight="true" outlineLevel="0" collapsed="false">
      <c r="A50" s="4" t="s">
        <v>238</v>
      </c>
      <c r="B50" s="23" t="n">
        <v>7.8</v>
      </c>
      <c r="C50" s="5" t="s">
        <v>208</v>
      </c>
      <c r="D50" s="4" t="s">
        <v>42</v>
      </c>
    </row>
    <row r="51" customFormat="false" ht="16.5" hidden="false" customHeight="true" outlineLevel="0" collapsed="false">
      <c r="A51" s="4" t="s">
        <v>239</v>
      </c>
      <c r="B51" s="17" t="n">
        <f aca="false">B50/B40</f>
        <v>0.496815286624204</v>
      </c>
      <c r="C51" s="5" t="s">
        <v>164</v>
      </c>
      <c r="D51" s="4" t="s">
        <v>240</v>
      </c>
    </row>
    <row r="52" customFormat="false" ht="16.5" hidden="false" customHeight="true" outlineLevel="0" collapsed="false">
      <c r="A52" s="4" t="s">
        <v>241</v>
      </c>
      <c r="B52" s="14" t="n">
        <v>477</v>
      </c>
      <c r="C52" s="5" t="s">
        <v>208</v>
      </c>
      <c r="D52" s="4" t="s">
        <v>9</v>
      </c>
    </row>
    <row r="53" customFormat="false" ht="16.5" hidden="false" customHeight="true" outlineLevel="0" collapsed="false">
      <c r="A53" s="4" t="s">
        <v>242</v>
      </c>
      <c r="B53" s="14" t="n">
        <v>274</v>
      </c>
      <c r="C53" s="5" t="s">
        <v>208</v>
      </c>
      <c r="D53" s="4" t="s">
        <v>9</v>
      </c>
    </row>
    <row r="54" customFormat="false" ht="16.5" hidden="false" customHeight="true" outlineLevel="0" collapsed="false">
      <c r="A54" s="4" t="s">
        <v>243</v>
      </c>
      <c r="B54" s="27" t="n">
        <f aca="false">B52-B53</f>
        <v>203</v>
      </c>
      <c r="C54" s="5" t="s">
        <v>208</v>
      </c>
      <c r="D54" s="4" t="s">
        <v>244</v>
      </c>
    </row>
    <row r="55" customFormat="false" ht="16.5" hidden="false" customHeight="true" outlineLevel="0" collapsed="false">
      <c r="A55" s="4" t="s">
        <v>245</v>
      </c>
      <c r="B55" s="17" t="n">
        <f aca="false">B54/B52</f>
        <v>0.425576519916143</v>
      </c>
      <c r="C55" s="5" t="s">
        <v>164</v>
      </c>
      <c r="D5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4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246</v>
      </c>
    </row>
    <row r="3" customFormat="false" ht="15" hidden="false" customHeight="false" outlineLevel="0" collapsed="false">
      <c r="A3" s="3" t="s">
        <v>73</v>
      </c>
      <c r="B3" s="3" t="s">
        <v>247</v>
      </c>
      <c r="C3" s="3" t="s">
        <v>248</v>
      </c>
    </row>
    <row r="4" customFormat="false" ht="30" hidden="false" customHeight="true" outlineLevel="0" collapsed="false">
      <c r="A4" s="4" t="s">
        <v>249</v>
      </c>
      <c r="B4" s="4" t="s">
        <v>250</v>
      </c>
      <c r="C4" s="4" t="s">
        <v>251</v>
      </c>
    </row>
    <row r="5" customFormat="false" ht="30" hidden="false" customHeight="true" outlineLevel="0" collapsed="false">
      <c r="A5" s="4" t="s">
        <v>252</v>
      </c>
      <c r="B5" s="4" t="s">
        <v>253</v>
      </c>
      <c r="C5" s="4" t="s">
        <v>254</v>
      </c>
    </row>
    <row r="6" customFormat="false" ht="16.5" hidden="false" customHeight="true" outlineLevel="0" collapsed="false">
      <c r="A6" s="4" t="s">
        <v>255</v>
      </c>
      <c r="B6" s="4" t="s">
        <v>256</v>
      </c>
      <c r="C6" s="4" t="s">
        <v>257</v>
      </c>
    </row>
    <row r="7" customFormat="false" ht="30" hidden="false" customHeight="true" outlineLevel="0" collapsed="false">
      <c r="A7" s="4" t="s">
        <v>258</v>
      </c>
      <c r="B7" s="4" t="s">
        <v>259</v>
      </c>
      <c r="C7" s="4" t="s">
        <v>260</v>
      </c>
    </row>
    <row r="8" customFormat="false" ht="16.5" hidden="false" customHeight="true" outlineLevel="0" collapsed="false">
      <c r="A8" s="4" t="s">
        <v>261</v>
      </c>
      <c r="B8" s="4" t="s">
        <v>262</v>
      </c>
      <c r="C8" s="4" t="s">
        <v>263</v>
      </c>
    </row>
    <row r="9" customFormat="false" ht="30" hidden="false" customHeight="true" outlineLevel="0" collapsed="false">
      <c r="A9" s="4" t="s">
        <v>264</v>
      </c>
      <c r="B9" s="4" t="s">
        <v>265</v>
      </c>
      <c r="C9" s="4" t="s">
        <v>266</v>
      </c>
    </row>
    <row r="10" customFormat="false" ht="30" hidden="false" customHeight="true" outlineLevel="0" collapsed="false">
      <c r="A10" s="4" t="s">
        <v>267</v>
      </c>
      <c r="B10" s="4" t="s">
        <v>268</v>
      </c>
      <c r="C10" s="4" t="s">
        <v>269</v>
      </c>
    </row>
    <row r="11" customFormat="false" ht="30" hidden="false" customHeight="true" outlineLevel="0" collapsed="false">
      <c r="A11" s="4" t="s">
        <v>270</v>
      </c>
      <c r="B11" s="4" t="s">
        <v>271</v>
      </c>
      <c r="C11" s="4" t="s">
        <v>272</v>
      </c>
    </row>
    <row r="12" customFormat="false" ht="16.5" hidden="false" customHeight="true" outlineLevel="0" collapsed="false">
      <c r="A12" s="4" t="s">
        <v>273</v>
      </c>
      <c r="B12" s="4" t="s">
        <v>274</v>
      </c>
      <c r="C12" s="4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2026-10-23T03:23:41Z</dcterms:created>
  <dc:creator>openpyxl</dc:creator>
  <dc:description/>
  <dc:language>en-US</dc:language>
  <cp:lastModifiedBy/>
  <dcterms:modified xsi:type="dcterms:W3CDTF">2026-10-23T03:23:41Z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